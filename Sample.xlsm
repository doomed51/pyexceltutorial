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F:\workbench\tutorial_python_excel\venv\"/>
    </mc:Choice>
  </mc:AlternateContent>
  <bookViews>
    <workbookView xWindow="0" yWindow="0" windowWidth="21810" windowHeight="13230" activeTab="2"/>
  </bookViews>
  <sheets>
    <sheet name="Trade Construction" sheetId="12" r:id="rId1"/>
    <sheet name="Data - Account Activity" sheetId="9" r:id="rId2"/>
    <sheet name="Valuations" sheetId="13" r:id="rId3"/>
    <sheet name="Descriptions" sheetId="2" r:id="rId4"/>
  </sheets>
  <definedNames>
    <definedName name="_xlnm._FilterDatabase" localSheetId="1" hidden="1">'Data - Account Activity'!$A$1:$N$572</definedName>
    <definedName name="MSN_MoneyCentral_Investor_Stock_Quotes" localSheetId="3">Descriptions!$B$37</definedName>
  </definedNames>
  <calcPr calcId="152511"/>
</workbook>
</file>

<file path=xl/calcChain.xml><?xml version="1.0" encoding="utf-8"?>
<calcChain xmlns="http://schemas.openxmlformats.org/spreadsheetml/2006/main">
  <c r="F36" i="12" l="1"/>
  <c r="N29" i="12" l="1"/>
  <c r="O29" i="12" s="1"/>
  <c r="Q26" i="12"/>
  <c r="G24" i="12"/>
  <c r="G23" i="12"/>
  <c r="G22" i="12"/>
  <c r="P21" i="12"/>
  <c r="G21" i="12"/>
  <c r="G20" i="12"/>
  <c r="G19" i="12"/>
  <c r="G18" i="12"/>
  <c r="G17" i="12"/>
  <c r="G16" i="12"/>
  <c r="P15" i="12"/>
  <c r="O15" i="12"/>
  <c r="G15" i="12"/>
  <c r="P14" i="12"/>
  <c r="O14" i="12"/>
  <c r="G14" i="12"/>
  <c r="P13" i="12"/>
  <c r="O13" i="12"/>
  <c r="G13" i="12"/>
  <c r="P12" i="12"/>
  <c r="Q16" i="12" s="1"/>
  <c r="O12" i="12"/>
  <c r="G12" i="12"/>
  <c r="G11" i="12"/>
  <c r="P10" i="12"/>
  <c r="O10" i="12"/>
  <c r="G10" i="12"/>
  <c r="O16" i="12" l="1"/>
  <c r="P16" i="12"/>
  <c r="N22" i="12" s="1"/>
  <c r="N23" i="12" s="1"/>
  <c r="N30" i="12" s="1"/>
  <c r="N31" i="12" s="1"/>
  <c r="K15" i="12"/>
  <c r="P29" i="12"/>
  <c r="O30" i="12" l="1"/>
  <c r="O31" i="12" s="1"/>
  <c r="Q29" i="12"/>
  <c r="P30" i="12"/>
  <c r="P31" i="12" s="1"/>
  <c r="Q30" i="12" l="1"/>
  <c r="Q31" i="12" s="1"/>
  <c r="R29" i="12"/>
  <c r="S29" i="12" l="1"/>
  <c r="R30" i="12"/>
  <c r="R31" i="12" s="1"/>
  <c r="T29" i="12" l="1"/>
  <c r="S30" i="12"/>
  <c r="S31" i="12" s="1"/>
  <c r="U29" i="12" l="1"/>
  <c r="U30" i="12" s="1"/>
  <c r="U31" i="12" s="1"/>
  <c r="T30" i="12"/>
  <c r="T31" i="12" s="1"/>
</calcChain>
</file>

<file path=xl/connections.xml><?xml version="1.0" encoding="utf-8"?>
<connections xmlns="http://schemas.openxmlformats.org/spreadsheetml/2006/main">
  <connection id="1" name="MSN MoneyCentral Investor Stock Quotes" type="4" refreshedVersion="0" deleted="1" background="1" saveData="1">
    <webPr parsePre="1" consecutive="1" htmlTables="1" htmlFormat="all"/>
    <parameters count="1">
      <parameter name="QUOTE" prompt="Enter stock, fund or other MSN MoneyCentral Investor symbols separated by commas."/>
    </parameters>
  </connection>
</connections>
</file>

<file path=xl/sharedStrings.xml><?xml version="1.0" encoding="utf-8"?>
<sst xmlns="http://schemas.openxmlformats.org/spreadsheetml/2006/main" count="5348" uniqueCount="981">
  <si>
    <t>basics</t>
  </si>
  <si>
    <t>calc</t>
  </si>
  <si>
    <t>notes</t>
  </si>
  <si>
    <t>Required</t>
  </si>
  <si>
    <t>Ideal</t>
  </si>
  <si>
    <t>additional calcs</t>
  </si>
  <si>
    <t>Name</t>
  </si>
  <si>
    <t>Symbol</t>
  </si>
  <si>
    <t>Last Price</t>
  </si>
  <si>
    <t>52wk hi/lo</t>
  </si>
  <si>
    <t>mkt cap</t>
  </si>
  <si>
    <t>daily $ vol</t>
  </si>
  <si>
    <t>Avg daily trading vol * price</t>
  </si>
  <si>
    <t xml:space="preserve">measure of liquididty </t>
  </si>
  <si>
    <t>&gt;$50k</t>
  </si>
  <si>
    <t>ADV = last vol/(1-change in volume)</t>
  </si>
  <si>
    <t>sales</t>
  </si>
  <si>
    <t>low sales indicitive of undiscovered comps-look at growth</t>
  </si>
  <si>
    <t>Comp health</t>
  </si>
  <si>
    <t>net profit mgn</t>
  </si>
  <si>
    <t>profit/revenue</t>
  </si>
  <si>
    <t>record past 5 yr trend - less that 5% in some cases</t>
  </si>
  <si>
    <t>top 20% of industry</t>
  </si>
  <si>
    <t>cash</t>
  </si>
  <si>
    <t>more thn debt</t>
  </si>
  <si>
    <t>total debt</t>
  </si>
  <si>
    <t>less than cash</t>
  </si>
  <si>
    <t>stock health</t>
  </si>
  <si>
    <t>sales/sh</t>
  </si>
  <si>
    <t>sales/shares outstanding</t>
  </si>
  <si>
    <t>growth: incr past 5 yrs</t>
  </si>
  <si>
    <t>cash flow/sh</t>
  </si>
  <si>
    <t>incr. for past 5 yrs</t>
  </si>
  <si>
    <t>earnings/sh</t>
  </si>
  <si>
    <t>record past 5 yr trend - indicitive of value when price hammered and this is const</t>
  </si>
  <si>
    <t>&gt;+ past 5 yr</t>
  </si>
  <si>
    <t>div yield</t>
  </si>
  <si>
    <t>large comp - high div. (overall decrease in div yield but sudden increase indicates dtock growing in price w sudden hit)</t>
  </si>
  <si>
    <t>ROE</t>
  </si>
  <si>
    <t>net income/shr holder equity</t>
  </si>
  <si>
    <t>gives clear pic of what comp does wit h its money</t>
  </si>
  <si>
    <t>&gt;20%</t>
  </si>
  <si>
    <t>insider buy/own</t>
  </si>
  <si>
    <t>watch for key insider buys</t>
  </si>
  <si>
    <t>more the better esp small cap</t>
  </si>
  <si>
    <t>stock buyback</t>
  </si>
  <si>
    <t>YES OR NO</t>
  </si>
  <si>
    <t>YES</t>
  </si>
  <si>
    <t>Past Performance</t>
  </si>
  <si>
    <t>EPS rank</t>
  </si>
  <si>
    <t>get from investors business daily - http://ycharts.com/rankings/eps_growth</t>
  </si>
  <si>
    <t>growth: 85 or better</t>
  </si>
  <si>
    <t>RPS rank</t>
  </si>
  <si>
    <t>stock perf in last 12 mo.| updatedon inv bus daily 99 is best</t>
  </si>
  <si>
    <t>growth: &gt;80</t>
  </si>
  <si>
    <t>5yr sales</t>
  </si>
  <si>
    <t>5yr price</t>
  </si>
  <si>
    <t>Projected Perf</t>
  </si>
  <si>
    <t>proj sales</t>
  </si>
  <si>
    <t>proj hi/lo</t>
  </si>
  <si>
    <t>time safe</t>
  </si>
  <si>
    <t>STARS fair val</t>
  </si>
  <si>
    <t>Ratios</t>
  </si>
  <si>
    <t>current P/E</t>
  </si>
  <si>
    <t>p/e that’s haf the earnings is a v good sign. Smaller better for value</t>
  </si>
  <si>
    <t>avg P/E</t>
  </si>
  <si>
    <t>higher that curr p/e</t>
  </si>
  <si>
    <t>P/S</t>
  </si>
  <si>
    <t>price/sales - smaller is better</t>
  </si>
  <si>
    <t>&lt;2</t>
  </si>
  <si>
    <t>P/B</t>
  </si>
  <si>
    <t>price/book - smaller is better</t>
  </si>
  <si>
    <t>current ratio</t>
  </si>
  <si>
    <t>curr assets/curr liab</t>
  </si>
  <si>
    <t>short term liquidity - higher is better</t>
  </si>
  <si>
    <t>bigger is better</t>
  </si>
  <si>
    <t>quick ratio</t>
  </si>
  <si>
    <t>cash and cash assets/curr liab</t>
  </si>
  <si>
    <t>short term problem recovery</t>
  </si>
  <si>
    <t>&gt;0.5</t>
  </si>
  <si>
    <t>SMA MACD RSI</t>
  </si>
  <si>
    <t>n/a</t>
  </si>
  <si>
    <t>HFC</t>
  </si>
  <si>
    <t>MSN MoneyCentral Investor Stock Quotes</t>
  </si>
  <si>
    <t>Sell</t>
  </si>
  <si>
    <t>Commission</t>
  </si>
  <si>
    <t>Total</t>
  </si>
  <si>
    <t>GE</t>
  </si>
  <si>
    <t>BB</t>
  </si>
  <si>
    <t>Price</t>
  </si>
  <si>
    <t>MSFT</t>
  </si>
  <si>
    <t>AA</t>
  </si>
  <si>
    <t>Equity Symbol</t>
  </si>
  <si>
    <t>Currency</t>
  </si>
  <si>
    <t>Quantity</t>
  </si>
  <si>
    <t>Cost Per Share</t>
  </si>
  <si>
    <t>Position Cost</t>
  </si>
  <si>
    <t>Market Price</t>
  </si>
  <si>
    <t>Market Value</t>
  </si>
  <si>
    <t>Profit And Loss</t>
  </si>
  <si>
    <t>% Return</t>
  </si>
  <si>
    <t>% of Portfolio</t>
  </si>
  <si>
    <t>AMD</t>
  </si>
  <si>
    <t>51577817</t>
  </si>
  <si>
    <t>USD</t>
  </si>
  <si>
    <t>CSCO</t>
  </si>
  <si>
    <t>OVV</t>
  </si>
  <si>
    <t>PFE</t>
  </si>
  <si>
    <t>TWTR</t>
  </si>
  <si>
    <t>USO</t>
  </si>
  <si>
    <t>BND</t>
  </si>
  <si>
    <t>NLY</t>
  </si>
  <si>
    <t>51608482</t>
  </si>
  <si>
    <t>GOOGL</t>
  </si>
  <si>
    <t>SAN</t>
  </si>
  <si>
    <t>ADR</t>
  </si>
  <si>
    <t>Account Type</t>
  </si>
  <si>
    <t>Individual TFSA</t>
  </si>
  <si>
    <t>Individual RRSP</t>
  </si>
  <si>
    <t>IAU</t>
  </si>
  <si>
    <t>Action</t>
  </si>
  <si>
    <t>Buy</t>
  </si>
  <si>
    <t>FTEC</t>
  </si>
  <si>
    <t>Total to move</t>
  </si>
  <si>
    <t>Target Px</t>
  </si>
  <si>
    <t>Net Loss</t>
  </si>
  <si>
    <t>Total to Reinvest</t>
  </si>
  <si>
    <t xml:space="preserve">1.Analysis - Rebalance to FTEC etf </t>
  </si>
  <si>
    <t>2.Action - Selling</t>
  </si>
  <si>
    <t>2.Action - Buying</t>
  </si>
  <si>
    <t xml:space="preserve">MoM Growth </t>
  </si>
  <si>
    <t>Dividend</t>
  </si>
  <si>
    <t>TTPR(Time to Profit Recovery)</t>
  </si>
  <si>
    <t>$ Available</t>
  </si>
  <si>
    <t>Max # shs</t>
  </si>
  <si>
    <t>1y starting px</t>
  </si>
  <si>
    <t>1y ending px</t>
  </si>
  <si>
    <t>CAGR</t>
  </si>
  <si>
    <t>3.Simulation</t>
  </si>
  <si>
    <t>Month</t>
  </si>
  <si>
    <t>Projected Price</t>
  </si>
  <si>
    <t>Investment</t>
  </si>
  <si>
    <t>Funds available for reinvestment</t>
  </si>
  <si>
    <t>Pending exection</t>
  </si>
  <si>
    <t>Trade filled</t>
  </si>
  <si>
    <t>Transaction Date</t>
  </si>
  <si>
    <t>Settlement Date</t>
  </si>
  <si>
    <t>Description</t>
  </si>
  <si>
    <t>Gross Amount</t>
  </si>
  <si>
    <t>Net Amount</t>
  </si>
  <si>
    <t>Account #</t>
  </si>
  <si>
    <t>Activity Type</t>
  </si>
  <si>
    <t>2011-07-18 12:00:00 AM</t>
  </si>
  <si>
    <t/>
  </si>
  <si>
    <t>INT FR 06/16 THRU07/15@ 4 3/4%BAL 1,197 AVBAL 1,307</t>
  </si>
  <si>
    <t>26547366</t>
  </si>
  <si>
    <t>Interest</t>
  </si>
  <si>
    <t>Individual margin</t>
  </si>
  <si>
    <t>2011-06-16 12:00:00 AM</t>
  </si>
  <si>
    <t>INT FR 05/16 THRU06/15@ 4 3/4%BAL 1,247 AVBAL 1,218</t>
  </si>
  <si>
    <t>2011-05-16 12:00:00 AM</t>
  </si>
  <si>
    <t>INT FR 04/25 THRU05/15@ 4 3/4%BAL 1,142 AVBAL 1,063</t>
  </si>
  <si>
    <t>2020-10-06 12:00:00 AM</t>
  </si>
  <si>
    <t>DIV</t>
  </si>
  <si>
    <t>V002978</t>
  </si>
  <si>
    <t>VANGUARD TOTAL BOND MARKET ETF CASH DIV ON 15 SHS REC 10/02/20 PAY 10/06/20 NON-RES TAX WITHHELD</t>
  </si>
  <si>
    <t>Dividends</t>
  </si>
  <si>
    <t>2020-09-04 12:00:00 AM</t>
  </si>
  <si>
    <t>VANGUARD TOTAL BOND MARKET ETF CASH DIV ON 15 SHS REC 09/02/20 PAY 09/04/20 NON-RES TAX WITHHELD</t>
  </si>
  <si>
    <t>2020-09-01 12:00:00 AM</t>
  </si>
  <si>
    <t>P456517</t>
  </si>
  <si>
    <t>PFIZER INC CASH DIV ON 40 SHS REC 07/31/20 PAY 09/01/20 NON-RES TAX WITHHELD</t>
  </si>
  <si>
    <t>2020-09-30 12:00:00 AM</t>
  </si>
  <si>
    <t>.OVV</t>
  </si>
  <si>
    <t>OVINTIV INC COMMON STOCK CASH DIV ON 5 SHS REC 09/15/20 PAY 09/30/20</t>
  </si>
  <si>
    <t>2020-09-10 12:00:00 AM</t>
  </si>
  <si>
    <t>M415385</t>
  </si>
  <si>
    <t>MICROSOFT CORP CASH DIV ON 15 SHS REC 08/20/20 PAY 09/10/20 NON-RES TAX WITHHELD</t>
  </si>
  <si>
    <t>2020-07-27 12:00:00 AM</t>
  </si>
  <si>
    <t>G136114</t>
  </si>
  <si>
    <t>GENERAL ELECTRIC COMPANY COM CASH DIV ON 150 SHS REC 06/29/20 PAY 07/27/20</t>
  </si>
  <si>
    <t>2020-04-27 12:00:00 AM</t>
  </si>
  <si>
    <t>GENERAL ELECTRIC COMPANY COM CASH DIV ON 150 SHS REC 03/09/20 PAY 04/27/20</t>
  </si>
  <si>
    <t>2019-04-25 12:00:00 AM</t>
  </si>
  <si>
    <t>GENERAL ELECTRIC COMPANY COM CASH DIV ON 150 SHS REC 03/11/19 PAY 04/25/19</t>
  </si>
  <si>
    <t>2019-07-25 12:00:00 AM</t>
  </si>
  <si>
    <t>GENERAL ELECTRIC COMPANY COM CASH DIV ON 150 SHS REC 07/01/19 PAY 07/25/19</t>
  </si>
  <si>
    <t>2019-10-25 12:00:00 AM</t>
  </si>
  <si>
    <t>GENERAL ELECTRIC COMPANY COM CASH DIV ON 150 SHS REC 09/16/19 PAY 10/25/19</t>
  </si>
  <si>
    <t>2020-01-27 12:00:00 AM</t>
  </si>
  <si>
    <t>GENERAL ELECTRIC COMPANY COM CASH DIV ON 150 SHS REC 12/23/19 PAY 01/27/20</t>
  </si>
  <si>
    <t>2019-01-25 12:00:00 AM</t>
  </si>
  <si>
    <t>GENERAL ELECTRIC COMPANY COM CASH DIV ON 50 SHS REC 12/20/18 PAY 01/25/19</t>
  </si>
  <si>
    <t>2018-10-25 12:00:00 AM</t>
  </si>
  <si>
    <t>GENERAL ELECTRIC COMPANY COM CASH DIV ON 50 SHS REC 09/17/18 PAY 10/25/18</t>
  </si>
  <si>
    <t>2018-07-25 12:00:00 AM</t>
  </si>
  <si>
    <t>GENERAL ELECTRIC COMPANY COM CASH DIV ON 50 SHS REC 06/18/18 PAY 07/25/18</t>
  </si>
  <si>
    <t>2018-04-25 12:00:00 AM</t>
  </si>
  <si>
    <t>GENERAL ELECTRIC COMPANY COM CASH DIV ON 50 SHS REC 02/26/18 PAY 04/25/18</t>
  </si>
  <si>
    <t>2018-01-25 12:00:00 AM</t>
  </si>
  <si>
    <t>GENERAL ELECTRIC COMPANY COM CASH DIV ON 50 SHS REC 12/27/17 PAY 01/25/18</t>
  </si>
  <si>
    <t>2017-10-25 12:00:00 AM</t>
  </si>
  <si>
    <t>GENERAL ELECTRIC COMPANY COM CASH DIV ON 50 SHS REC 09/18/17 PAY 10/25/17</t>
  </si>
  <si>
    <t>2017-07-25 12:00:00 AM</t>
  </si>
  <si>
    <t>GENERAL ELECTRIC COMPANY COM CASH DIV ON 50 SHS REC 06/19/17 PAY 07/25/17</t>
  </si>
  <si>
    <t>2017-04-25 12:00:00 AM</t>
  </si>
  <si>
    <t>GENERAL ELECTRIC COMPANY COM CASH DIV ON 50 SHS REC 02/27/17 PAY 04/25/17</t>
  </si>
  <si>
    <t>2017-01-25 12:00:00 AM</t>
  </si>
  <si>
    <t>GENERAL ELECTRIC COMPANY COM CASH DIV ON 50 SHS REC 12/27/16 PAY 01/25/17</t>
  </si>
  <si>
    <t>2016-10-25 12:00:00 AM</t>
  </si>
  <si>
    <t>GENERAL ELECTRIC COMPANY COM CASH DIV ON 50 SHS REC 09/19/16 PAY 10/25/16</t>
  </si>
  <si>
    <t>2016-04-25 12:00:00 AM</t>
  </si>
  <si>
    <t>GENERAL ELECTRIC COMPANY COM CASH DIV ON 50 SHS REC 02/29/16 PAY 04/25/16</t>
  </si>
  <si>
    <t>2016-01-25 12:00:00 AM</t>
  </si>
  <si>
    <t>GENERAL ELECTRIC COMPANY COM CASH DIV ON 50 SHS REC 12/21/15 PAY 01/25/16</t>
  </si>
  <si>
    <t>2015-10-26 12:00:00 AM</t>
  </si>
  <si>
    <t>GENERAL ELECTRIC COMPANY COM CASH DIV ON 50 SHS REC 09/21/15 PAY 10/26/15</t>
  </si>
  <si>
    <t>2015-07-27 12:00:00 AM</t>
  </si>
  <si>
    <t>GENERAL ELECTRIC CO CASH DIV ON 50 SHS REC 06/22/15 PAY 07/27/15</t>
  </si>
  <si>
    <t>2015-04-27 12:00:00 AM</t>
  </si>
  <si>
    <t>GENERAL ELECTRIC CO CASH DIV ON 50 SHS REC 02/23/15 PAY 04/27/15</t>
  </si>
  <si>
    <t>2015-01-26 12:00:00 AM</t>
  </si>
  <si>
    <t>GENERAL ELECTRIC CO CASH DIV ON 30 SHS REC 12/22/14 PAY 01/26/15</t>
  </si>
  <si>
    <t>2014-10-27 12:00:00 AM</t>
  </si>
  <si>
    <t>GENERAL ELECTRIC CO CASH DIV ON 30 SHS REC 09/22/14 PAY 10/27/14</t>
  </si>
  <si>
    <t>2014-07-25 12:00:00 AM</t>
  </si>
  <si>
    <t>GENERAL ELECTRIC CO CASH DIV ON 30 SHS REC 06/23/14 PAY 07/25/14</t>
  </si>
  <si>
    <t>2014-04-25 12:00:00 AM</t>
  </si>
  <si>
    <t>GENERAL ELECTRIC CO CASH DIV ON 30 SHS REC 02/24/14 PAY 04/25/14</t>
  </si>
  <si>
    <t>2016-07-25 12:00:00 AM</t>
  </si>
  <si>
    <t>GENERAL ELECTRIC COMPANY COM CASH DIV ON 50 SHS REC 06/20/16 PAY 07/25/16</t>
  </si>
  <si>
    <t>2016-05-10 12:00:00 AM</t>
  </si>
  <si>
    <t>B004014</t>
  </si>
  <si>
    <t>BANCO SANTANDER S A SPONSORED ADR CASH DIV ON 55 SHS REC 05/02/16 PAY 05/10/16</t>
  </si>
  <si>
    <t>2014-08-19 12:00:00 AM</t>
  </si>
  <si>
    <t>BANCO SANTANDER S A SPONSORED ADR ADR FEE REC 07/14/14 PAY 08/11/14</t>
  </si>
  <si>
    <t>2016-08-08 12:00:00 AM</t>
  </si>
  <si>
    <t>BANCO SANTANDER S A SPONSORED ADR CASH DIV ON 55 SHS REC 07/29/16 PAY 08/08/16</t>
  </si>
  <si>
    <t>2020-01-31 12:00:00 AM</t>
  </si>
  <si>
    <t>A004362</t>
  </si>
  <si>
    <t>ANNALY CAPITAL MANAGEMENT INC CASH DIV ON 70 SHS REC 12/31/19 PAY 01/31/20</t>
  </si>
  <si>
    <t>2019-10-31 12:00:00 AM</t>
  </si>
  <si>
    <t>ANNALY CAPITAL MANAGEMENT INC CASH DIV ON 70 SHS REC 09/30/19 PAY 10/31/19</t>
  </si>
  <si>
    <t>2019-07-31 12:00:00 AM</t>
  </si>
  <si>
    <t>ANNALY CAPITAL MANAGEMENT INC CASH DIV ON 70 SHS REC 06/28/19 PAY 07/31/19</t>
  </si>
  <si>
    <t>2019-04-30 12:00:00 AM</t>
  </si>
  <si>
    <t>ANNALY CAPITAL MANAGEMENT INC CASH DIV ON 70 SHS REC 03/29/19 PAY 04/30/19</t>
  </si>
  <si>
    <t>2019-01-31 12:00:00 AM</t>
  </si>
  <si>
    <t>ANNALY CAPITAL MANAGEMENT INC CASH DIV ON 70 SHS REC 12/31/18 PAY 01/31/19</t>
  </si>
  <si>
    <t>2020-06-04 12:00:00 AM</t>
  </si>
  <si>
    <t>VANGUARD TOTAL BOND MARKET ETF CASH DIV ON 15 SHS REC 06/02/20 PAY 06/04/20 NON-RES TAX WITHHELD</t>
  </si>
  <si>
    <t>2020-05-06 12:00:00 AM</t>
  </si>
  <si>
    <t>VANGUARD TOTAL BOND MARKET ETF CASH DIV ON 15 SHS REC 05/04/20 PAY 05/06/20 NON-RES TAX WITHHELD</t>
  </si>
  <si>
    <t>2020-07-07 12:00:00 AM</t>
  </si>
  <si>
    <t>VANGUARD TOTAL BOND MARKET ETF CASH DIV ON 15 SHS REC 07/02/20 PAY 07/07/20 NON-RES TAX WITHHELD</t>
  </si>
  <si>
    <t>2020-04-06 12:00:00 AM</t>
  </si>
  <si>
    <t>VANGUARD TOTAL BOND MARKET ETF CASH DIV ON 15 SHS REC 04/02/20 PAY 04/06/20 NON-RES TAX WITHHELD</t>
  </si>
  <si>
    <t>2020-08-06 12:00:00 AM</t>
  </si>
  <si>
    <t>VANGUARD TOTAL BOND MARKET ETF CASH DIV ON 15 SHS REC 08/04/20 PAY 08/06/20 NON-RES TAX WITHHELD</t>
  </si>
  <si>
    <t>2019-06-06 12:00:00 AM</t>
  </si>
  <si>
    <t>VANGUARD TOTAL BOND MARKET ETF CASH DIV ON 15 SHS REC 06/04/19 PAY 06/06/19 NON-RES TAX WITHHELD</t>
  </si>
  <si>
    <t>2019-05-06 12:00:00 AM</t>
  </si>
  <si>
    <t>VANGUARD TOTAL BOND MARKET ETF CASH DIV ON 15 SHS REC 05/02/19 PAY 05/06/19 NON-RES TAX WITHHELD</t>
  </si>
  <si>
    <t>2019-04-04 12:00:00 AM</t>
  </si>
  <si>
    <t>VANGUARD TOTAL BOND MARKET ETF CASH DIV ON 15 SHS REC 04/02/19 PAY 04/04/19 NON-RES TAX WITHHELD</t>
  </si>
  <si>
    <t>2019-02-06 12:00:00 AM</t>
  </si>
  <si>
    <t>VANGUARD TOTAL BOND MARKET ETF CASH DIV ON 15 SHS REC 02/04/19 PAY 02/06/19 NON-RES TAX WITHHELD</t>
  </si>
  <si>
    <t>2019-03-06 12:00:00 AM</t>
  </si>
  <si>
    <t>VANGUARD TOTAL BOND MARKET ETF CASH DIV ON 15 SHS REC 03/04/19 PAY 03/06/19 NON-RES TAX WITHHELD</t>
  </si>
  <si>
    <t>2019-08-06 12:00:00 AM</t>
  </si>
  <si>
    <t>VANGUARD TOTAL BOND MARKET ETF CASH DIV ON 15 SHS REC 08/02/19 PAY 08/06/19 NON-RES TAX WITHHELD</t>
  </si>
  <si>
    <t>2019-07-05 12:00:00 AM</t>
  </si>
  <si>
    <t>VANGUARD TOTAL BOND MARKET ETF CASH DIV ON 15 SHS REC 07/02/19 PAY 07/05/19 NON-RES TAX WITHHELD</t>
  </si>
  <si>
    <t>2019-09-06 12:00:00 AM</t>
  </si>
  <si>
    <t>VANGUARD TOTAL BOND MARKET ETF CASH DIV ON 15 SHS REC 09/04/19 PAY 09/06/19 NON-RES TAX WITHHELD</t>
  </si>
  <si>
    <t>2019-10-04 12:00:00 AM</t>
  </si>
  <si>
    <t>VANGUARD TOTAL BOND MARKET ETF CASH DIV ON 15 SHS REC 10/02/19 PAY 10/04/19 NON-RES TAX WITHHELD</t>
  </si>
  <si>
    <t>2019-11-06 12:00:00 AM</t>
  </si>
  <si>
    <t>VANGUARD TOTAL BOND MARKET ETF CASH DIV ON 15 SHS REC 11/04/19 PAY 11/06/19 NON-RES TAX WITHHELD</t>
  </si>
  <si>
    <t>2019-12-05 12:00:00 AM</t>
  </si>
  <si>
    <t>VANGUARD TOTAL BOND MARKET ETF CASH DIV ON 15 SHS REC 12/03/19 PAY 12/05/19 NON-RES TAX WITHHELD</t>
  </si>
  <si>
    <t>2020-03-05 12:00:00 AM</t>
  </si>
  <si>
    <t>VANGUARD TOTAL BOND MARKET ETF CASH DIV ON 15 SHS REC 03/03/20 PAY 03/05/20 NON-RES TAX WITHHELD</t>
  </si>
  <si>
    <t>2020-02-06 12:00:00 AM</t>
  </si>
  <si>
    <t>VANGUARD TOTAL BOND MARKET ETF CASH DIV ON 15 SHS REC 02/04/20 PAY 02/06/20 NON-RES TAX WITHHELD</t>
  </si>
  <si>
    <t>2019-12-27 12:00:00 AM</t>
  </si>
  <si>
    <t>VANGUARD TOTAL BOND MARKET ETF CASH DIV ON 15 SHS REC 12/24/19 PAY 12/27/19 NON-RES TAX WITHHELD</t>
  </si>
  <si>
    <t>2020-03-06 12:00:00 AM</t>
  </si>
  <si>
    <t>PFIZER INC CASH DIV ON 20 SHS REC 01/31/20 PAY 03/06/20 NON-RES TAX WITHHELD</t>
  </si>
  <si>
    <t>2019-12-02 12:00:00 AM</t>
  </si>
  <si>
    <t>PFIZER INC CASH DIV ON 20 SHS REC 11/08/19 PAY 12/02/19 NON-RES TAX WITHHELD</t>
  </si>
  <si>
    <t>2019-09-03 12:00:00 AM</t>
  </si>
  <si>
    <t>PFIZER INC CASH DIV ON 20 SHS REC 08/02/19 PAY 09/03/19 NON-RES TAX WITHHELD</t>
  </si>
  <si>
    <t>2019-03-01 12:00:00 AM</t>
  </si>
  <si>
    <t>PFIZER INC CASH DIV ON 20 SHS REC 02/01/19 PAY 03/01/19 NON-RES TAX WITHHELD</t>
  </si>
  <si>
    <t>2019-06-07 12:00:00 AM</t>
  </si>
  <si>
    <t>PFIZER INC CASH DIV ON 20 SHS REC 05/10/19 PAY 06/07/19 NON-RES TAX WITHHELD</t>
  </si>
  <si>
    <t>2018-09-04 12:00:00 AM</t>
  </si>
  <si>
    <t>PFIZER INC CASH DIV ON 20 SHS REC 08/03/18 PAY 09/04/18 NON-RES TAX WITHHELD</t>
  </si>
  <si>
    <t>2018-12-03 12:00:00 AM</t>
  </si>
  <si>
    <t>PFIZER INC CASH DIV ON 20 SHS REC 11/09/18 PAY 12/03/18 NON-RES TAX WITHHELD</t>
  </si>
  <si>
    <t>2018-06-01 12:00:00 AM</t>
  </si>
  <si>
    <t>PFIZER INC CASH DIV ON 20 SHS REC 05/11/18 PAY 06/01/18 NON-RES TAX WITHHELD</t>
  </si>
  <si>
    <t>2017-09-01 12:00:00 AM</t>
  </si>
  <si>
    <t>PFIZER INC CASH DIV ON 20 SHS REC 08/04/17 PAY 09/01/17 NON-RES TAX WITHHELD</t>
  </si>
  <si>
    <t>2017-12-01 12:00:00 AM</t>
  </si>
  <si>
    <t>PFIZER INC CASH DIV ON 20 SHS REC 11/10/17 PAY 12/01/17 NON-RES TAX WITHHELD</t>
  </si>
  <si>
    <t>2018-03-01 12:00:00 AM</t>
  </si>
  <si>
    <t>PFIZER INC CASH DIV ON 20 SHS REC 02/02/18 PAY 03/01/18 NON-RES TAX WITHHELD</t>
  </si>
  <si>
    <t>2016-12-01 12:00:00 AM</t>
  </si>
  <si>
    <t>PFIZER INC CASH DIV ON 20 SHS REC 11/11/16 PAY 12/01/16 NON-RES TAX WITHHELD</t>
  </si>
  <si>
    <t>2016-09-01 12:00:00 AM</t>
  </si>
  <si>
    <t>PFIZER INC CASH DIV ON 20 SHS REC 08/05/16 PAY 09/01/16 NON-RES TAX WITHHELD</t>
  </si>
  <si>
    <t>2016-06-01 12:00:00 AM</t>
  </si>
  <si>
    <t>PFIZER INC CASH DIV ON 20 SHS REC 05/13/16 PAY 06/01/16 NON-RES TAX WITHHELD</t>
  </si>
  <si>
    <t>2017-03-01 12:00:00 AM</t>
  </si>
  <si>
    <t>PFIZER INC CASH DIV ON 20 SHS REC 02/03/17 PAY 03/01/17 NON-RES TAX WITHHELD</t>
  </si>
  <si>
    <t>2017-06-01 12:00:00 AM</t>
  </si>
  <si>
    <t>PFIZER INC CASH DIV ON 20 SHS REC 05/12/17 PAY 06/01/17 NON-RES TAX WITHHELD</t>
  </si>
  <si>
    <t>2020-06-05 12:00:00 AM</t>
  </si>
  <si>
    <t>PFIZER INC CASH DIV ON 40 SHS REC 05/08/20 PAY 06/05/20 NON-RES TAX WITHHELD</t>
  </si>
  <si>
    <t>2020-03-31 12:00:00 AM</t>
  </si>
  <si>
    <t>OVINTIV INC COMMON STOCK CASH DIV ON 5 SHS REC 03/13/20 PAY 03/31/20</t>
  </si>
  <si>
    <t>2020-06-30 12:00:00 AM</t>
  </si>
  <si>
    <t>OVINTIV INC COMMON STOCK CASH DIV ON 5 SHS REC 06/15/20 PAY 06/30/20</t>
  </si>
  <si>
    <t>2017-06-08 12:00:00 AM</t>
  </si>
  <si>
    <t>MICROSOFT CORP CASH DIV ON 10 SHS REC 05/18/17 PAY 06/08/17 NON-RES TAX WITHHELD</t>
  </si>
  <si>
    <t>2017-03-09 12:00:00 AM</t>
  </si>
  <si>
    <t>MICROSOFT CORP CASH DIV ON 10 SHS REC 02/16/17 PAY 03/09/17 NON-RES TAX WITHHELD</t>
  </si>
  <si>
    <t>2016-12-08 12:00:00 AM</t>
  </si>
  <si>
    <t>MICROSOFT CORP CASH DIV ON 10 SHS REC 11/17/16 PAY 12/08/16 NON-RES TAX WITHHELD</t>
  </si>
  <si>
    <t>2016-06-09 12:00:00 AM</t>
  </si>
  <si>
    <t>MICROSOFT CORP CASH DIV ON 10 SHS REC 05/19/16 PAY 06/09/16 NON-RES TAX WITHHELD</t>
  </si>
  <si>
    <t>2016-09-08 12:00:00 AM</t>
  </si>
  <si>
    <t>MICROSOFT CORP CASH DIV ON 10 SHS REC 08/18/16 PAY 09/08/16 NON-RES TAX WITHHELD</t>
  </si>
  <si>
    <t>2017-12-14 12:00:00 AM</t>
  </si>
  <si>
    <t>MICROSOFT CORP CASH DIV ON 10 SHS REC 11/16/17 PAY 12/14/17 NON-RES TAX WITHHELD</t>
  </si>
  <si>
    <t>2017-09-14 12:00:00 AM</t>
  </si>
  <si>
    <t>MICROSOFT CORP CASH DIV ON 10 SHS REC 08/17/17 PAY 09/14/17 NON-RES TAX WITHHELD</t>
  </si>
  <si>
    <t>2018-06-14 12:00:00 AM</t>
  </si>
  <si>
    <t>MICROSOFT CORP CASH DIV ON 20 SHS REC 05/17/18 PAY 06/14/18 NON-RES TAX WITHHELD</t>
  </si>
  <si>
    <t>2018-03-08 12:00:00 AM</t>
  </si>
  <si>
    <t>MICROSOFT CORP CASH DIV ON 20 SHS REC 02/15/18 PAY 03/08/18 NON-RES TAX WITHHELD</t>
  </si>
  <si>
    <t>2018-12-13 12:00:00 AM</t>
  </si>
  <si>
    <t>MICROSOFT CORP CASH DIV ON 20 SHS REC 11/15/18 PAY 12/13/18 NON-RES TAX WITHHELD</t>
  </si>
  <si>
    <t>2018-09-13 12:00:00 AM</t>
  </si>
  <si>
    <t>MICROSOFT CORP CASH DIV ON 20 SHS REC 08/16/18 PAY 09/13/18 NON-RES TAX WITHHELD</t>
  </si>
  <si>
    <t>2019-03-14 12:00:00 AM</t>
  </si>
  <si>
    <t>MICROSOFT CORP CASH DIV ON 10 SHS REC 02/21/19 PAY 03/14/19 NON-RES TAX WITHHELD</t>
  </si>
  <si>
    <t>2019-09-12 12:00:00 AM</t>
  </si>
  <si>
    <t>MICROSOFT CORP CASH DIV ON 10 SHS REC 08/15/19 PAY 09/12/19 NON-RES TAX WITHHELD</t>
  </si>
  <si>
    <t>2019-06-13 12:00:00 AM</t>
  </si>
  <si>
    <t>MICROSOFT CORP CASH DIV ON 10 SHS REC 05/16/19 PAY 06/13/19 NON-RES TAX WITHHELD</t>
  </si>
  <si>
    <t>2019-12-12 12:00:00 AM</t>
  </si>
  <si>
    <t>MICROSOFT CORP CASH DIV ON 10 SHS REC 11/21/19 PAY 12/12/19 NON-RES TAX WITHHELD</t>
  </si>
  <si>
    <t>2020-06-11 12:00:00 AM</t>
  </si>
  <si>
    <t>MICROSOFT CORP CASH DIV ON 10 SHS REC 05/21/20 PAY 06/11/20 NON-RES TAX WITHHELD</t>
  </si>
  <si>
    <t>2020-03-12 12:00:00 AM</t>
  </si>
  <si>
    <t>MICROSOFT CORP CASH DIV ON 10 SHS REC 02/20/20 PAY 03/12/20 NON-RES TAX WITHHELD</t>
  </si>
  <si>
    <t>GENERAL ELECTRIC COMPANY COM CASH DIV ON 100 SHS REC 03/09/20 PAY 04/27/20</t>
  </si>
  <si>
    <t>GENERAL ELECTRIC COMPANY COM CASH DIV ON 200 SHS REC 06/29/20 PAY 07/27/20</t>
  </si>
  <si>
    <t>GENERAL ELECTRIC COMPANY COM CASH DIV ON 100 SHS REC 12/23/19 PAY 01/27/20</t>
  </si>
  <si>
    <t>GENERAL ELECTRIC COMPANY COM CASH DIV ON 100 SHS REC 09/16/19 PAY 10/25/19</t>
  </si>
  <si>
    <t>2018-09-28 12:00:00 AM</t>
  </si>
  <si>
    <t>E005024</t>
  </si>
  <si>
    <t>ENCANA CORP CASH DIV ON 25 SHS REC 09/14/18 PAY 09/28/18</t>
  </si>
  <si>
    <t>2018-06-29 12:00:00 AM</t>
  </si>
  <si>
    <t>ENCANA CORP CASH DIV ON 25 SHS REC 06/15/18 PAY 06/29/18</t>
  </si>
  <si>
    <t>2018-03-29 12:00:00 AM</t>
  </si>
  <si>
    <t>ENCANA CORP CASH DIV ON 25 SHS REC 03/15/18 PAY 03/29/18</t>
  </si>
  <si>
    <t>2017-12-29 12:00:00 AM</t>
  </si>
  <si>
    <t>ENCANA CORP CASH DIV ON 25 SHS REC 12/15/17 PAY 12/29/17</t>
  </si>
  <si>
    <t>2017-09-29 12:00:00 AM</t>
  </si>
  <si>
    <t>ENCANA CORP CASH DIV ON 25 SHS REC 09/15/17 PAY 09/29/17</t>
  </si>
  <si>
    <t>2017-06-30 12:00:00 AM</t>
  </si>
  <si>
    <t>ENCANA CORP CASH DIV ON 25 SHS REC 06/15/17 PAY 06/30/17</t>
  </si>
  <si>
    <t>2016-09-30 12:00:00 AM</t>
  </si>
  <si>
    <t>ENCANA CORP CASH DIV ON 25 SHS REC 09/15/16 PAY 09/30/16</t>
  </si>
  <si>
    <t>2016-06-30 12:00:00 AM</t>
  </si>
  <si>
    <t>ENCANA CORP CASH DIV ON 25 SHS REC 06/15/16 PAY 06/30/16</t>
  </si>
  <si>
    <t>2016-12-30 12:00:00 AM</t>
  </si>
  <si>
    <t>ENCANA CORP CASH DIV ON 25 SHS REC 12/15/16 PAY 12/30/16</t>
  </si>
  <si>
    <t>2017-03-31 12:00:00 AM</t>
  </si>
  <si>
    <t>ENCANA CORP CASH DIV ON 25 SHS REC 03/15/17 PAY 03/31/17</t>
  </si>
  <si>
    <t>2019-06-28 12:00:00 AM</t>
  </si>
  <si>
    <t>ENCANA CORP CASH DIV ON 25 SHS REC 06/14/19 PAY 06/28/19</t>
  </si>
  <si>
    <t>2019-03-29 12:00:00 AM</t>
  </si>
  <si>
    <t>ENCANA CORP CASH DIV ON 25 SHS REC 03/15/19 PAY 03/29/19</t>
  </si>
  <si>
    <t>2018-12-31 12:00:00 AM</t>
  </si>
  <si>
    <t>ENCANA CORP CASH DIV ON 25 SHS REC 12/14/18 PAY 12/31/18</t>
  </si>
  <si>
    <t>2019-09-30 12:00:00 AM</t>
  </si>
  <si>
    <t>ENCANA CORP CASH DIV ON 25 SHS REC 09/13/19 PAY 09/30/19</t>
  </si>
  <si>
    <t>2019-12-31 12:00:00 AM</t>
  </si>
  <si>
    <t>ENCANA CORP CASH DIV ON 25 SHS REC 12/13/19 PAY 12/31/19</t>
  </si>
  <si>
    <t>2020-07-22 12:00:00 AM</t>
  </si>
  <si>
    <t>C421626</t>
  </si>
  <si>
    <t>CISCO SYSTEMS INC CASH DIV ON 35 SHS REC 07/06/20 PAY 07/22/20 NON-RES TAX WITHHELD</t>
  </si>
  <si>
    <t>2020-04-22 12:00:00 AM</t>
  </si>
  <si>
    <t>CISCO SYSTEMS INC CASH DIV ON 35 SHS REC 04/03/20 PAY 04/22/20 NON-RES TAX WITHHELD</t>
  </si>
  <si>
    <t>2020-01-22 12:00:00 AM</t>
  </si>
  <si>
    <t>CISCO SYSTEMS INC CASH DIV ON 35 SHS REC 01/03/20 PAY 01/22/20 NON-RES TAX WITHHELD</t>
  </si>
  <si>
    <t>2019-10-23 12:00:00 AM</t>
  </si>
  <si>
    <t>CISCO SYSTEMS INC CASH DIV ON 35 SHS REC 10/04/19 PAY 10/23/19 NON-RES TAX WITHHELD</t>
  </si>
  <si>
    <t>2017-05-15 12:00:00 AM</t>
  </si>
  <si>
    <t>C030859</t>
  </si>
  <si>
    <t>CVR PARTNERS LP DIST ON 80 SHS REC 05/08/17 PAY 05/15/17 NON-RES TAX WITHHELD</t>
  </si>
  <si>
    <t>2016-08-15 12:00:00 AM</t>
  </si>
  <si>
    <t>CVR PARTNERS LP DIST ON 80 SHS REC 08/08/16 PAY 08/15/16 NON-RES TAX WITHHELD</t>
  </si>
  <si>
    <t>2016-05-16 12:00:00 AM</t>
  </si>
  <si>
    <t>CVR PARTNERS LP DIST ON 80 SHS REC 05/09/16 PAY 05/16/16 NON-RES TAX WITHHELD</t>
  </si>
  <si>
    <t>2016-03-31 12:00:00 AM</t>
  </si>
  <si>
    <t>ENCANA CORP CASH DIV ON 25 SHS REC 03/15/16 PAY 03/31/16</t>
  </si>
  <si>
    <t>2016-03-10 12:00:00 AM</t>
  </si>
  <si>
    <t>MICROSOFT CORP CASH DIV ON 10 SHS REC 02/18/16 PAY 03/10/16 NON-RES TAX WITHHELD</t>
  </si>
  <si>
    <t>2016-03-07 12:00:00 AM</t>
  </si>
  <si>
    <t>CVR PARTNERS LP DIST ON 80 SHS REC 02/29/16 PAY 03/07/16 NON-RES TAX WITHHELD</t>
  </si>
  <si>
    <t>2016-03-02 12:00:00 AM</t>
  </si>
  <si>
    <t>PFIZER INC CASH DIV ON 20 SHS REC 02/05/16 PAY 03/02/16 NON-RES TAX WITHHELD</t>
  </si>
  <si>
    <t>2015-12-31 12:00:00 AM</t>
  </si>
  <si>
    <t>ENCANA CORP CASH DIV ON 25 SHS REC 12/15/15 PAY 12/31/15</t>
  </si>
  <si>
    <t>2015-12-10 12:00:00 AM</t>
  </si>
  <si>
    <t>MICROSOFT CORP CASH DIV ON 10 SHS REC 11/19/15 PAY 12/10/15 NON-RES TAX WITHHELD</t>
  </si>
  <si>
    <t>2015-12-01 12:00:00 AM</t>
  </si>
  <si>
    <t>PFIZER INC CASH DIV ON 20 SHS REC 11/06/15 PAY 12/01/15 NON-RES TAX WITHHELD</t>
  </si>
  <si>
    <t>2015-09-30 12:00:00 AM</t>
  </si>
  <si>
    <t>ENCANA CORP CASH DIV ON 25 SHS REC 09/15/15 PAY 09/30/15</t>
  </si>
  <si>
    <t>2015-09-10 12:00:00 AM</t>
  </si>
  <si>
    <t>MICROSOFT CORP CASH DIV ON 10 SHS REC 08/20/15 PAY 09/10/15 NON-RES TAX WITHHELD</t>
  </si>
  <si>
    <t>2015-09-02 12:00:00 AM</t>
  </si>
  <si>
    <t>PFIZER INC CASH DIV ON 20 SHS REC 08/07/15 PAY 09/02/15 NON-RES TAX WITHHELD</t>
  </si>
  <si>
    <t>2015-08-17 12:00:00 AM</t>
  </si>
  <si>
    <t>CVR PARTNERS LP DIST ON 80 SHS REC 08/10/15 PAY 08/17/15 NON-RES TAX WITHHELD</t>
  </si>
  <si>
    <t>2015-06-30 12:00:00 AM</t>
  </si>
  <si>
    <t>ENCANA CORP CASH DIV ON 25 SHS REC 06/15/15 PAY 06/30/15</t>
  </si>
  <si>
    <t>2015-06-02 12:00:00 AM</t>
  </si>
  <si>
    <t>PFIZER INC CASH DIV ON 20 SHS REC 05/08/15 PAY 06/02/15 NON-RES TAX WITHHELD</t>
  </si>
  <si>
    <t>2015-05-18 12:00:00 AM</t>
  </si>
  <si>
    <t>CVR PARTNERS LP DIST ON 60 SHS REC 05/11/15 PAY 05/18/15 NON-RES TAX WITHHELD</t>
  </si>
  <si>
    <t>2015-03-09 12:00:00 AM</t>
  </si>
  <si>
    <t>CVR PARTNERS LP DIST ON 60 SHS REC 03/02/15 PAY 03/09/15 NON-RES TAX WITHHELD</t>
  </si>
  <si>
    <t>2015-03-03 12:00:00 AM</t>
  </si>
  <si>
    <t>PFIZER INC CASH DIV ON 20 SHS REC 02/06/15 PAY 03/03/15 NON-RES TAX WITHHELD</t>
  </si>
  <si>
    <t>2014-12-02 12:00:00 AM</t>
  </si>
  <si>
    <t>PFIZER INC CASH DIV ON 20 SHS REC 11/07/14 PAY 12/02/14 NON-RES TAX WITHHELD</t>
  </si>
  <si>
    <t>2014-11-17 12:00:00 AM</t>
  </si>
  <si>
    <t>CVR PARTNERS LP DIST ON 60 SHS REC 11/10/14 PAY 11/17/14 NON-RES TAX WITHHELD</t>
  </si>
  <si>
    <t>2014-09-03 12:00:00 AM</t>
  </si>
  <si>
    <t>PFIZER INC CASH DIV ON 20 SHS REC 08/01/14 PAY 09/03/14 NON-RES TAX WITHHELD</t>
  </si>
  <si>
    <t>2014-08-18 12:00:00 AM</t>
  </si>
  <si>
    <t>CVR PARTNERS LP DIST ON 60 SHS REC 08/11/14 PAY 08/18/14 NON-RES TAX WITHHELD</t>
  </si>
  <si>
    <t>2014-06-03 12:00:00 AM</t>
  </si>
  <si>
    <t>PFIZER INC CASH DIV ON 20 SHS REC 05/09/14 PAY 06/03/14 NON-RES TAX WITHHELD</t>
  </si>
  <si>
    <t>2014-05-19 12:00:00 AM</t>
  </si>
  <si>
    <t>CVR PARTNERS LP DIST ON 60 SHS REC 05/12/14 PAY 05/19/14 NON-RES TAX WITHHELD</t>
  </si>
  <si>
    <t>2014-03-10 12:00:00 AM</t>
  </si>
  <si>
    <t>CVR PARTNERS LP DIST ON 60 SHS REC 03/03/14 PAY 03/10/14 NON-RES TAX WITHHELD</t>
  </si>
  <si>
    <t>2014-01-27 12:00:00 AM</t>
  </si>
  <si>
    <t>GENERAL ELECTRIC CO CASH DIV ON 10 SHS REC 12/23/13 PAY 01/27/14 NON-RES TAX WITHHELD</t>
  </si>
  <si>
    <t>2013-12-27 12:00:00 AM</t>
  </si>
  <si>
    <t>H026037</t>
  </si>
  <si>
    <t>HOLLYFRONTIER CORPORATION CASH DIV ON 12 SHS REC 12/06/13 PAY 12/27/13 NON-RES TAX WITHHELD</t>
  </si>
  <si>
    <t>2013-12-16 12:00:00 AM</t>
  </si>
  <si>
    <t>HOLLYFRONTIER CORPORATION CASH DIV ON 12 SHS REC 11/29/13 PAY 12/16/13 NON-RES TAX WITHHELD</t>
  </si>
  <si>
    <t>2013-12-04 12:00:00 AM</t>
  </si>
  <si>
    <t>GENERAL ELECTRIC CO REC 09/23/13 PAY 10/25/13 DIVIDEND TAX ADJUSTMENT NON-RES TAX WITHHELD</t>
  </si>
  <si>
    <t>C228630</t>
  </si>
  <si>
    <t>CHESAPEAKE ENERGY CORP REC 07/15/13 PAY 07/31/13 DIVIDEND TAX ADJUSTMENT NON-RES TAX WITHHELD</t>
  </si>
  <si>
    <t>2013-11-18 12:00:00 AM</t>
  </si>
  <si>
    <t>CVR PARTNERS LP DIST ON 100 SHS REC 11/11/13 PAY 11/18/13 NON-RES TAX WITHHELD</t>
  </si>
  <si>
    <t>2013-10-25 12:00:00 AM</t>
  </si>
  <si>
    <t>GENERAL ELECTRIC CO CASH DIV ON 10 SHS REC 09/23/13 PAY 10/25/13 NON-RES TAX WITHHELD</t>
  </si>
  <si>
    <t>2013-08-14 12:00:00 AM</t>
  </si>
  <si>
    <t>CVR PARTNERS LP DIST ON 25 SHS REC 08/07/13 PAY 08/14/13 NON-RES TAX WITHHELD</t>
  </si>
  <si>
    <t>2013-07-31 12:00:00 AM</t>
  </si>
  <si>
    <t>CHESAPEAKE ENERGY CORP CASH DIV ON 25 SHS REC 07/15/13 PAY 07/31/13 NON-RES TAX WITHHELD</t>
  </si>
  <si>
    <t>2012-03-09 12:00:00 AM</t>
  </si>
  <si>
    <t>S532301</t>
  </si>
  <si>
    <t>STANDARD REGISTER CO CASH DIV ON 100 SHS REC 02/24/12 PAY 03/09/12 NON-RES TAX WITHHELD</t>
  </si>
  <si>
    <t>51508217</t>
  </si>
  <si>
    <t>2011-12-23 12:00:00 AM</t>
  </si>
  <si>
    <t>B006719</t>
  </si>
  <si>
    <t>BANK OF AMERICA CORP CASH DIV ON 125 SHS REC 12/02/11 PAY 12/23/11 NON-RES TAX WITHHELD</t>
  </si>
  <si>
    <t>2011-12-09 12:00:00 AM</t>
  </si>
  <si>
    <t>STANDARD REGISTER CO CASH DIV ON 100 SHS REC 11/25/11 PAY 12/09/11 NON-RES TAX WITHHELD</t>
  </si>
  <si>
    <t>2011-09-09 12:00:00 AM</t>
  </si>
  <si>
    <t>STANDARD REGISTER CO CASH DIV ON 100 SHS REC 08/26/11 PAY 09/09/11 NON-RES TAX WITHHELD</t>
  </si>
  <si>
    <t>2011-06-10 12:00:00 AM</t>
  </si>
  <si>
    <t>STANDARD REGISTER CO CASH DIV ON 30 SHS REC 05/27/11 PAY 06/10/11 NON-RES TAX WITHHELD</t>
  </si>
  <si>
    <t>CIL</t>
  </si>
  <si>
    <t>W002344</t>
  </si>
  <si>
    <t>WABTEC CORP COMMON STOCK CASH IN LIEU OF .80565 FROM SEC# G136114 GENERAL ELECTRIC COMPANY REC 02/27/19 PAY 02/28/19 929740108000</t>
  </si>
  <si>
    <t>Corporate actions</t>
  </si>
  <si>
    <t>2015-10-05 12:00:00 AM</t>
  </si>
  <si>
    <t>NAC</t>
  </si>
  <si>
    <t>G007459</t>
  </si>
  <si>
    <t>GOOGLE INC CL A NAME CHANGE 1:1 INTO 02079K305</t>
  </si>
  <si>
    <t>2019-11-08 12:00:00 AM</t>
  </si>
  <si>
    <t>BANCO SANTANDER S A SPONSORED ADR AGENCY PROCESSING FEE</t>
  </si>
  <si>
    <t>Fees and rebates</t>
  </si>
  <si>
    <t>BANCO SANTANDER S A SPONSORED ADR NON-RES TAX WITHHELD REC 10/31/19 PAY 11/08/19</t>
  </si>
  <si>
    <t>BANCO SANTANDER S A SPONSORED ADR DIST ON 55 SHS REC 10/31/19 PAY 11/08/19</t>
  </si>
  <si>
    <t>2019-05-09 12:00:00 AM</t>
  </si>
  <si>
    <t>BANCO SANTANDER S A SPONSORED ADR NON-RES TAX WITHHELD REC 04/30/19 PAY 05/09/19</t>
  </si>
  <si>
    <t>BANCO SANTANDER S A SPONSORED ADR DIST ON 55 SHS REC 04/30/19 PAY 05/09/19</t>
  </si>
  <si>
    <t>2019-02-08 12:00:00 AM</t>
  </si>
  <si>
    <t>BANCO SANTANDER S A SPONSORED ADR NON-RES TAX WITHHELD REC 01/31/19 PAY 02/08/19</t>
  </si>
  <si>
    <t>BANCO SANTANDER S A SPONSORED ADR DIST ON 55 SHS REC 01/31/19 PAY 02/08/19</t>
  </si>
  <si>
    <t>2018-11-15 12:00:00 AM</t>
  </si>
  <si>
    <t>BANCO SANTANDER S A SPONSORED ADR CASH IN LIEU OF .44715 REC 10/17/18 PAY 11/13/18 05964H105000</t>
  </si>
  <si>
    <t>2017-02-08 12:00:00 AM</t>
  </si>
  <si>
    <t>BANCO SANTANDER S A SPONSORED ADR NON-RES TAX WITHHELD REC 01/27/17 PAY 02/08/17</t>
  </si>
  <si>
    <t>BANCO SANTANDER S A SPONSORED ADR DIST ON 55 SHS REC 01/27/17 PAY 02/08/17</t>
  </si>
  <si>
    <t>2017-05-09 12:00:00 AM</t>
  </si>
  <si>
    <t>BANCO SANTANDER S A SPONSORED ADR NON-RES TAX WITHHELD REC 04/28/17 PAY 05/09/17</t>
  </si>
  <si>
    <t>BANCO SANTANDER S A SPONSORED ADR DIST ON 55 SHS REC 04/28/17 PAY 05/09/17</t>
  </si>
  <si>
    <t>2017-08-11 12:00:00 AM</t>
  </si>
  <si>
    <t>BANCO SANTANDER S A SPONSORED ADR NON-RES TAX WITHHELD REC 08/03/17 PAY 08/11/17</t>
  </si>
  <si>
    <t>BANCO SANTANDER S A SPONSORED ADR DIST ON 55 SHS REC 08/03/17 PAY 08/11/17</t>
  </si>
  <si>
    <t>2017-08-02 12:00:00 AM</t>
  </si>
  <si>
    <t>BANCO SANTANDER S A SPONSORED ADR DIST ON 55 SHS REC 07/20/17 PAY 08/02/17</t>
  </si>
  <si>
    <t>2016-11-24 12:00:00 AM</t>
  </si>
  <si>
    <t>FEE</t>
  </si>
  <si>
    <t>BANCO SANTANDER S A SPONSORED ADR REC 10/17/16 PAY 11/14/16 ADR FEE @0.035</t>
  </si>
  <si>
    <t>2016-11-15 12:00:00 AM</t>
  </si>
  <si>
    <t>BANCO SANTANDER S A SPONSORED ADR CASH IN LIEU OF .63218 REC 10/17/16 PAY 11/14/16 05964H105000</t>
  </si>
  <si>
    <t>2017-11-15 12:00:00 AM</t>
  </si>
  <si>
    <t>BANCO SANTANDER S A SPONSORED ADR CASH IN LIEU OF .38732 REC 10/17/17 PAY 11/13/17 05964H105000</t>
  </si>
  <si>
    <t>2018-02-08 12:00:00 AM</t>
  </si>
  <si>
    <t>BANCO SANTANDER S A SPONSORED ADR NON-RES TAX WITHHELD REC 01/31/18 PAY 02/08/18</t>
  </si>
  <si>
    <t>BANCO SANTANDER S A SPONSORED ADR DIST ON 55 SHS REC 01/31/18 PAY 02/08/18</t>
  </si>
  <si>
    <t>2018-05-10 12:00:00 AM</t>
  </si>
  <si>
    <t>BANCO SANTANDER S A SPONSORED ADR NON-RES TAX WITHHELD REC 05/03/18 PAY 05/10/18</t>
  </si>
  <si>
    <t>BANCO SANTANDER S A SPONSORED ADR DIST ON 55 SHS REC 05/03/18 PAY 05/10/18</t>
  </si>
  <si>
    <t>2018-08-08 12:00:00 AM</t>
  </si>
  <si>
    <t>BANCO SANTANDER S A SPONSORED ADR NON-RES TAX WITHHELD REC 07/31/18 PAY 08/08/18</t>
  </si>
  <si>
    <t>BANCO SANTANDER S A SPONSORED ADR DIST ON 55 SHS REC 07/31/18 PAY 08/08/18</t>
  </si>
  <si>
    <t>2014-08-11 12:00:00 AM</t>
  </si>
  <si>
    <t>DIS</t>
  </si>
  <si>
    <t>BANCO SANTANDER S A SPONSORED ADR STK DIV ON 51 SHS REC 07/14/14 PAY 08/11/14</t>
  </si>
  <si>
    <t>BANCO SANTANDER S A SPONSORED ADR CASH IN LIEU OF .04082 REC 07/14/14 PAY 08/11/14 05964H105000</t>
  </si>
  <si>
    <t>2014-05-13 12:00:00 AM</t>
  </si>
  <si>
    <t>BANCO SANTANDER S A SPONSORED ADR ADR FEE R/D 04/11/14 P/D 05/12/14</t>
  </si>
  <si>
    <t>2014-05-12 12:00:00 AM</t>
  </si>
  <si>
    <t>BANCO SANTANDER S A SPONSORED ADR STK DIV ON 50 SHS REC 04/11/14 PAY 05/12/14</t>
  </si>
  <si>
    <t>BANCO SANTANDER S A SPONSORED ADR CASH IN LIEU OF .06383 REC 04/11/14 PAY 05/12/14 05964H105000</t>
  </si>
  <si>
    <t>BANCO SANTANDER S A SPONSORED ADR ADR FEE @ 0.035 R/D 10/17/14 P/D 11/13/14</t>
  </si>
  <si>
    <t>2014-11-13 12:00:00 AM</t>
  </si>
  <si>
    <t>BANCO SANTANDER S A SPONSORED ADR STK DIV ON 52 SHS REC 10/17/14 PAY 11/13/14</t>
  </si>
  <si>
    <t>BANCO SANTANDER S A SPONSORED ADR CASH IN LIEU OF .13043 REC 10/17/14 PAY 11/13/14 05964H105000</t>
  </si>
  <si>
    <t>2015-02-17 12:00:00 AM</t>
  </si>
  <si>
    <t>BANCO SANTANDER S A SPONSORED ADR ADR FEE @ 0.035 R/D 01/13/15 P/D 02/09/15</t>
  </si>
  <si>
    <t>2015-02-09 12:00:00 AM</t>
  </si>
  <si>
    <t>BANCO SANTANDER S A SPONSORED ADR STK DIV ON 53 SHS REC 01/13/15 PAY 02/09/15</t>
  </si>
  <si>
    <t>BANCO SANTANDER S A SPONSORED ADR CASH IN LIEU OF .20455 REC 01/13/15 PAY 02/09/15 05964H105000</t>
  </si>
  <si>
    <t>BANCO SANTANDER S A SPONSORED ADR ADR FEE CHARGED @0.035 REC 04/13/15 PAY 05/11/15</t>
  </si>
  <si>
    <t>2015-05-12 12:00:00 AM</t>
  </si>
  <si>
    <t>BANCO SANTANDER S A SPONSORED ADR CASH IN LIEU OF .17391 REC 04/13/15 PAY 05/11/15 05964H105000</t>
  </si>
  <si>
    <t>2015-05-11 12:00:00 AM</t>
  </si>
  <si>
    <t>BANCO SANTANDER S A SPONSORED ADR STK DIV ON 54 SHS REC 04/13/15 PAY 05/11/15</t>
  </si>
  <si>
    <t>2015-08-10 12:00:00 AM</t>
  </si>
  <si>
    <t>BANCO SANTANDER S A SPONSORED ADR NON-RES TAX WITHHELD REC 07/31/15 PAY 08/10/15</t>
  </si>
  <si>
    <t>BANCO SANTANDER S A SPONSORED ADR DIST ON 55 SHS REC 07/31/15 PAY 08/10/15</t>
  </si>
  <si>
    <t>2016-02-08 12:00:00 AM</t>
  </si>
  <si>
    <t>BANCO SANTANDER S A SPONSORED ADR NON-RES TAX WITHHELD REC 01/29/16 PAY 02/08/16</t>
  </si>
  <si>
    <t>BANCO SANTANDER S A SPONSORED ADR DIST ON 55 SHS REC 01/29/16 PAY 02/08/16</t>
  </si>
  <si>
    <t>2015-11-24 12:00:00 AM</t>
  </si>
  <si>
    <t>BANCO SANTANDER S A SPONSORED ADR REC 10/19/15 PAY 11/16/15 ADR FEE CHARGE @ 0.035</t>
  </si>
  <si>
    <t>2015-11-17 12:00:00 AM</t>
  </si>
  <si>
    <t>BANCO SANTANDER S A SPONSORED ADR CASH IN LIEU OF .53398 REC 10/19/15 PAY 11/16/15 05964H105000</t>
  </si>
  <si>
    <t>A036970</t>
  </si>
  <si>
    <t>ALPHABET INC CLASS A COMMON STOCK RESULT OF NAME CHANGE</t>
  </si>
  <si>
    <t>2018-10-31 12:00:00 AM</t>
  </si>
  <si>
    <t>ANNALY CAPITAL MANAGEMENT INC DIST ON 70 SHS REC 09/28/18 PAY 10/31/18</t>
  </si>
  <si>
    <t>2018-09-10 12:00:00 AM</t>
  </si>
  <si>
    <t>ANNALY CAPITAL MANAGEMENT INC DIST ON 70 SHS REC 09/06/18 PAY 09/10/18</t>
  </si>
  <si>
    <t>2020-07-31 12:00:00 AM</t>
  </si>
  <si>
    <t>ANNALY CAPITAL MANAGEMENT INC DIST ON 70 SHS REC 06/30/20 PAY 07/31/20</t>
  </si>
  <si>
    <t>2020-04-30 12:00:00 AM</t>
  </si>
  <si>
    <t>ANNALY CAPITAL MANAGEMENT INC DIST ON 70 SHS REC 03/31/20 PAY 04/30/20</t>
  </si>
  <si>
    <t>2018-07-31 12:00:00 AM</t>
  </si>
  <si>
    <t>ANNALY CAPITAL MANAGEMENT INC DIST ON 70 SHS REC 06/29/18 PAY 07/31/18</t>
  </si>
  <si>
    <t>2018-04-30 12:00:00 AM</t>
  </si>
  <si>
    <t>ANNALY CAPITAL MANAGEMENT INC DIST ON 70 SHS REC 03/29/18 PAY 04/30/18</t>
  </si>
  <si>
    <t>2018-01-31 12:00:00 AM</t>
  </si>
  <si>
    <t>ANNALY CAPITAL MANAGEMENT INC DIST ON 70 SHS REC 12/29/17 PAY 01/31/18</t>
  </si>
  <si>
    <t>2017-10-31 12:00:00 AM</t>
  </si>
  <si>
    <t>ANNALY CAPITAL MANAGEMENT INC DIST ON 70 SHS REC 09/29/17 PAY 10/31/17</t>
  </si>
  <si>
    <t>2016-10-31 12:00:00 AM</t>
  </si>
  <si>
    <t>ANNALY CAPITAL MANAGEMENT INC DIST ON 70 SHS REC 09/30/16 PAY 10/31/16</t>
  </si>
  <si>
    <t>2017-07-31 12:00:00 AM</t>
  </si>
  <si>
    <t>ANNALY CAPITAL MANAGEMENT INC DIST ON 70 SHS REC 06/30/17 PAY 07/31/17</t>
  </si>
  <si>
    <t>2017-04-28 12:00:00 AM</t>
  </si>
  <si>
    <t>ANNALY CAPITAL MANAGEMENT INC DIST ON 70 SHS REC 03/31/17 PAY 04/28/17</t>
  </si>
  <si>
    <t>2017-01-31 12:00:00 AM</t>
  </si>
  <si>
    <t>ANNALY CAPITAL MANAGEMENT INC DIST ON 70 SHS REC 12/30/16 PAY 01/31/17</t>
  </si>
  <si>
    <t>2016-07-29 12:00:00 AM</t>
  </si>
  <si>
    <t>ANNALY CAPITAL MANAGEMENT INC DIST ON 70 SHS REC 06/30/16 PAY 07/29/16</t>
  </si>
  <si>
    <t>2016-07-14 12:00:00 AM</t>
  </si>
  <si>
    <t>ANNALY CAPITAL MANAGEMENT INC DIST ON 70 SHS REC 07/11/16 PAY 07/14/16</t>
  </si>
  <si>
    <t>2016-04-29 12:00:00 AM</t>
  </si>
  <si>
    <t>ANNALY CAPITAL MANAGEMENT INC DIST ON 70 SHS REC 03/31/16 PAY 04/29/16</t>
  </si>
  <si>
    <t>2015-01-29 12:00:00 AM</t>
  </si>
  <si>
    <t>ANNALY CAPITAL MANAGEMENT INC DIST ON 70 SHS REC 12/31/14 PAY 01/29/15</t>
  </si>
  <si>
    <t>2016-01-29 12:00:00 AM</t>
  </si>
  <si>
    <t>ANNALY CAPITAL MANAGEMENT INC DIST ON 70 SHS REC 12/31/15 PAY 01/29/16</t>
  </si>
  <si>
    <t>2015-10-30 12:00:00 AM</t>
  </si>
  <si>
    <t>ANNALY CAPITAL MANAGEMENT INC DIST ON 70 SHS REC 09/30/15 PAY 10/30/15</t>
  </si>
  <si>
    <t>2015-07-31 12:00:00 AM</t>
  </si>
  <si>
    <t>ANNALY CAPITAL MANAGEMENT INC DIST ON 70 SHS REC 06/30/15 PAY 07/31/15</t>
  </si>
  <si>
    <t>2015-04-30 12:00:00 AM</t>
  </si>
  <si>
    <t>ANNALY CAPITAL MANAGEMENT INC DIST ON 70 SHS REC 03/31/15 PAY 04/30/15</t>
  </si>
  <si>
    <t>2015-02-23 12:00:00 AM</t>
  </si>
  <si>
    <t>EXP</t>
  </si>
  <si>
    <t>8GMNXX7</t>
  </si>
  <si>
    <t>CALL UAN 02/20/15 17.50 CVR PARTNERS LP OPTION EXPIRATION - EXPIRED</t>
  </si>
  <si>
    <t>Other</t>
  </si>
  <si>
    <t>2019-02-13 12:00:00 AM</t>
  </si>
  <si>
    <t>FXT</t>
  </si>
  <si>
    <t>CONVERSION - CAD/USD</t>
  </si>
  <si>
    <t>FX conversion</t>
  </si>
  <si>
    <t>CAD</t>
  </si>
  <si>
    <t>2015-01-28 12:00:00 AM</t>
  </si>
  <si>
    <t>2014-09-30 12:00:00 AM</t>
  </si>
  <si>
    <t>2014-04-15 12:00:00 AM</t>
  </si>
  <si>
    <t>2014-04-03 12:00:00 AM</t>
  </si>
  <si>
    <t>2014-04-02 12:00:00 AM</t>
  </si>
  <si>
    <t>2020-07-30 12:00:00 AM</t>
  </si>
  <si>
    <t>2020-05-13 12:00:00 AM</t>
  </si>
  <si>
    <t>2020-05-12 12:00:00 AM</t>
  </si>
  <si>
    <t>2020-04-29 12:00:00 AM</t>
  </si>
  <si>
    <t>REV</t>
  </si>
  <si>
    <t>U052396</t>
  </si>
  <si>
    <t>UNITED STATES OIL FUND LP SHARES OF UNITED STATES OIL FUND LP RESULT OF REVERSE SPLIT</t>
  </si>
  <si>
    <t>U003994</t>
  </si>
  <si>
    <t>UNITED STATES OIL FUND LP UNITS ETF REVERSE SPLIT @1:8 INTO 91232N207</t>
  </si>
  <si>
    <t>2020-04-21 12:00:00 AM</t>
  </si>
  <si>
    <t>2020-04-15 12:00:00 AM</t>
  </si>
  <si>
    <t>2020-04-09 12:00:00 AM</t>
  </si>
  <si>
    <t>2020-01-28 12:00:00 AM</t>
  </si>
  <si>
    <t>RNC</t>
  </si>
  <si>
    <t>OVINTIV INC COMMON STOCK RESULT OF NAME CHANGE</t>
  </si>
  <si>
    <t>ENCANA CORP REVERSE SPLIT &amp; NAME CHANGE @ 1:5 INTO 69047Q102</t>
  </si>
  <si>
    <t>XIC</t>
  </si>
  <si>
    <t>ISHARES CORE S&amp;P/TSX CAPPED COMPOSITE INDEX ETF DIST ON 50 SHS REC 03/26/19 PAY 03/29/19</t>
  </si>
  <si>
    <t>2015-07-10 12:00:00 AM</t>
  </si>
  <si>
    <t>2015-06-23 12:00:00 AM</t>
  </si>
  <si>
    <t>C049350</t>
  </si>
  <si>
    <t>CREDIT SUISSE AG NASSAU BRH VELOCITYSHARES DAILY 2X VIX SHORT TERM ETN RESULT OF REVERSE SPLIT</t>
  </si>
  <si>
    <t>C039770</t>
  </si>
  <si>
    <t>CREDIT SUISSE AG VELOCITYSHARES DAILY 2X VIX SHORT TERM ETN REVERSE SPLIT 1:10 INTO 22539T423</t>
  </si>
  <si>
    <t>2015-06-04 12:00:00 AM</t>
  </si>
  <si>
    <t>2015-06-01 12:00:00 AM</t>
  </si>
  <si>
    <t>2015-05-29 12:00:00 AM</t>
  </si>
  <si>
    <t>2015-05-28 12:00:00 AM</t>
  </si>
  <si>
    <t>2015-05-27 12:00:00 AM</t>
  </si>
  <si>
    <t>2015-03-05 12:00:00 AM</t>
  </si>
  <si>
    <t>2015-02-13 12:00:00 AM</t>
  </si>
  <si>
    <t>CONVERSION - USD/CAD</t>
  </si>
  <si>
    <t>2015-01-20 12:00:00 AM</t>
  </si>
  <si>
    <t>2014-12-03 12:00:00 AM</t>
  </si>
  <si>
    <t>2014-11-18 12:00:00 AM</t>
  </si>
  <si>
    <t>2014-09-04 12:00:00 AM</t>
  </si>
  <si>
    <t>2014-08-29 12:00:00 AM</t>
  </si>
  <si>
    <t>2014-06-24 12:00:00 AM</t>
  </si>
  <si>
    <t>2014-06-04 12:00:00 AM</t>
  </si>
  <si>
    <t>2014-06-02 12:00:00 AM</t>
  </si>
  <si>
    <t>2014-05-20 12:00:00 AM</t>
  </si>
  <si>
    <t>2014-05-06 12:00:00 AM</t>
  </si>
  <si>
    <t>2014-05-05 12:00:00 AM</t>
  </si>
  <si>
    <t>2014-03-11 12:00:00 AM</t>
  </si>
  <si>
    <t>2014-02-27 12:00:00 AM</t>
  </si>
  <si>
    <t>2014-02-18 12:00:00 AM</t>
  </si>
  <si>
    <t>2014-02-12 12:00:00 AM</t>
  </si>
  <si>
    <t>2014-02-10 12:00:00 AM</t>
  </si>
  <si>
    <t>2014-01-29 12:00:00 AM</t>
  </si>
  <si>
    <t>2014-01-28 12:00:00 AM</t>
  </si>
  <si>
    <t>2014-01-21 12:00:00 AM</t>
  </si>
  <si>
    <t>2014-01-07 12:00:00 AM</t>
  </si>
  <si>
    <t>2013-12-30 12:00:00 AM</t>
  </si>
  <si>
    <t>2013-12-17 12:00:00 AM</t>
  </si>
  <si>
    <t>2013-12-05 12:00:00 AM</t>
  </si>
  <si>
    <t>2013-11-19 12:00:00 AM</t>
  </si>
  <si>
    <t>2013-10-28 12:00:00 AM</t>
  </si>
  <si>
    <t>2013-10-24 12:00:00 AM</t>
  </si>
  <si>
    <t>2013-10-22 12:00:00 AM</t>
  </si>
  <si>
    <t>2013-10-09 12:00:00 AM</t>
  </si>
  <si>
    <t>2013-10-04 12:00:00 AM</t>
  </si>
  <si>
    <t>2013-10-02 12:00:00 AM</t>
  </si>
  <si>
    <t>2013-09-04 12:00:00 AM</t>
  </si>
  <si>
    <t>2013-08-15 12:00:00 AM</t>
  </si>
  <si>
    <t>2013-08-09 12:00:00 AM</t>
  </si>
  <si>
    <t>2013-08-08 12:00:00 AM</t>
  </si>
  <si>
    <t>2013-08-07 12:00:00 AM</t>
  </si>
  <si>
    <t>2013-08-06 12:00:00 AM</t>
  </si>
  <si>
    <t>2013-08-01 12:00:00 AM</t>
  </si>
  <si>
    <t>2013-07-26 12:00:00 AM</t>
  </si>
  <si>
    <t>FCH</t>
  </si>
  <si>
    <t>10FREE95 Rebate</t>
  </si>
  <si>
    <t>2013-07-24 12:00:00 AM</t>
  </si>
  <si>
    <t>2013-06-28 12:00:00 AM</t>
  </si>
  <si>
    <t>2013-06-26 12:00:00 AM</t>
  </si>
  <si>
    <t>2013-06-25 12:00:00 AM</t>
  </si>
  <si>
    <t>2013-06-21 12:00:00 AM</t>
  </si>
  <si>
    <t>2012-04-13 12:00:00 AM</t>
  </si>
  <si>
    <t>2012-04-12 12:00:00 AM</t>
  </si>
  <si>
    <t>2012-03-12 12:00:00 AM</t>
  </si>
  <si>
    <t>2012-02-13 12:00:00 AM</t>
  </si>
  <si>
    <t>2012-02-10 12:00:00 AM</t>
  </si>
  <si>
    <t>2012-02-09 12:00:00 AM</t>
  </si>
  <si>
    <t>2012-02-08 12:00:00 AM</t>
  </si>
  <si>
    <t>2012-01-19 12:00:00 AM</t>
  </si>
  <si>
    <t>2011-12-27 12:00:00 AM</t>
  </si>
  <si>
    <t>2011-12-12 12:00:00 AM</t>
  </si>
  <si>
    <t>2011-12-01 12:00:00 AM</t>
  </si>
  <si>
    <t>2011-11-22 12:00:00 AM</t>
  </si>
  <si>
    <t>2011-11-17 12:00:00 AM</t>
  </si>
  <si>
    <t>2011-11-10 12:00:00 AM</t>
  </si>
  <si>
    <t>2011-11-08 12:00:00 AM</t>
  </si>
  <si>
    <t>2011-11-02 12:00:00 AM</t>
  </si>
  <si>
    <t>2011-10-27 12:00:00 AM</t>
  </si>
  <si>
    <t>2011-10-20 12:00:00 AM</t>
  </si>
  <si>
    <t>2011-10-18 12:00:00 AM</t>
  </si>
  <si>
    <t>2011-10-17 12:00:00 AM</t>
  </si>
  <si>
    <t>2011-10-12 12:00:00 AM</t>
  </si>
  <si>
    <t>2011-10-10 12:00:00 AM</t>
  </si>
  <si>
    <t>2011-10-07 12:00:00 AM</t>
  </si>
  <si>
    <t>2011-10-06 12:00:00 AM</t>
  </si>
  <si>
    <t>2011-10-04 12:00:00 AM</t>
  </si>
  <si>
    <t>2011-10-03 12:00:00 AM</t>
  </si>
  <si>
    <t>2011-09-22 12:00:00 AM</t>
  </si>
  <si>
    <t>2011-09-14 12:00:00 AM</t>
  </si>
  <si>
    <t>2011-09-12 12:00:00 AM</t>
  </si>
  <si>
    <t>2011-08-30 12:00:00 AM</t>
  </si>
  <si>
    <t>2011-08-18 12:00:00 AM</t>
  </si>
  <si>
    <t>2011-08-02 12:00:00 AM</t>
  </si>
  <si>
    <t>2011-07-21 12:00:00 AM</t>
  </si>
  <si>
    <t>2019-02-15 12:00:00 AM</t>
  </si>
  <si>
    <t>GENERAL ELECTRIC COMPANY COM WE ACTED AS AGENT AVG PRICE - ASK US FOR DETAILS</t>
  </si>
  <si>
    <t>Trades</t>
  </si>
  <si>
    <t>2015-02-02 12:00:00 AM</t>
  </si>
  <si>
    <t>GENERAL ELECTRIC CO WE ACTED AS AGENT</t>
  </si>
  <si>
    <t>2014-10-03 12:00:00 AM</t>
  </si>
  <si>
    <t>ANNALY CAPITAL MANAGEMENT INC WE ACTED AS AGENT</t>
  </si>
  <si>
    <t>2014-09-19 12:00:00 AM</t>
  </si>
  <si>
    <t>2014-09-22 12:00:00 AM</t>
  </si>
  <si>
    <t>CALL UAN 02/20/15 17.50 CVR PARTNERS LP WE ACTED AS AGENT</t>
  </si>
  <si>
    <t>2014-04-16 12:00:00 AM</t>
  </si>
  <si>
    <t>2014-04-22 12:00:00 AM</t>
  </si>
  <si>
    <t>PFIZER INC WE ACTED AS AGENT</t>
  </si>
  <si>
    <t>2014-04-21 12:00:00 AM</t>
  </si>
  <si>
    <t>GOOGLE INC CL A WE ACTED AS AGENT</t>
  </si>
  <si>
    <t>2014-04-04 12:00:00 AM</t>
  </si>
  <si>
    <t>2014-04-09 12:00:00 AM</t>
  </si>
  <si>
    <t>2014-04-08 12:00:00 AM</t>
  </si>
  <si>
    <t>2014-04-07 12:00:00 AM</t>
  </si>
  <si>
    <t>BANCO SANTANDER S A SPONSORED ADR WE ACTED AS AGENT</t>
  </si>
  <si>
    <t>2020-08-03 12:00:00 AM</t>
  </si>
  <si>
    <t>MICROSOFT CORP WE ACTED AS AGENT</t>
  </si>
  <si>
    <t>2020-07-29 12:00:00 AM</t>
  </si>
  <si>
    <t>ISHARES GOLD TRUST WE ACTED AS AGENT</t>
  </si>
  <si>
    <t>2020-05-15 12:00:00 AM</t>
  </si>
  <si>
    <t>GENERAL ELECTRIC COMPANY COM WE ACTED AS AGENT</t>
  </si>
  <si>
    <t>2020-05-14 12:00:00 AM</t>
  </si>
  <si>
    <t>HOLLYFRONTIER CORPORATION WE ACTED AS AGENT</t>
  </si>
  <si>
    <t>2020-04-23 12:00:00 AM</t>
  </si>
  <si>
    <t>TWITTER INC WE ACTED AS AGENT</t>
  </si>
  <si>
    <t>2020-04-17 12:00:00 AM</t>
  </si>
  <si>
    <t>2020-04-14 12:00:00 AM</t>
  </si>
  <si>
    <t>UNITED STATES OIL FUND LP UNITS ETF WE ACTED AS AGENT AVG PRICE - ASK US FOR DETAILS</t>
  </si>
  <si>
    <t>2019-11-04 12:00:00 AM</t>
  </si>
  <si>
    <t>2019-10-02 12:00:00 AM</t>
  </si>
  <si>
    <t>CISCO SYSTEMS INC WE ACTED AS AGENT</t>
  </si>
  <si>
    <t>2019-09-16 12:00:00 AM</t>
  </si>
  <si>
    <t>2019-09-18 12:00:00 AM</t>
  </si>
  <si>
    <t>BLACKBERRY LTD COM WE ACTED AS AGENT AVG PRICE - ASK US FOR DETAILS</t>
  </si>
  <si>
    <t>2019-08-23 12:00:00 AM</t>
  </si>
  <si>
    <t>2019-08-27 12:00:00 AM</t>
  </si>
  <si>
    <t>2019-08-19 12:00:00 AM</t>
  </si>
  <si>
    <t>2019-08-21 12:00:00 AM</t>
  </si>
  <si>
    <t>2019-07-26 12:00:00 AM</t>
  </si>
  <si>
    <t>2019-07-30 12:00:00 AM</t>
  </si>
  <si>
    <t>2019-04-16 12:00:00 AM</t>
  </si>
  <si>
    <t>2019-04-18 12:00:00 AM</t>
  </si>
  <si>
    <t>XIC.TO</t>
  </si>
  <si>
    <t>ISHARES CORE S&amp;P/TSX CAPPED COMPOSITE INDEX ETF WE ACTED AS AGENT</t>
  </si>
  <si>
    <t>2019-02-05 12:00:00 AM</t>
  </si>
  <si>
    <t>2019-02-07 12:00:00 AM</t>
  </si>
  <si>
    <t>2019-02-01 12:00:00 AM</t>
  </si>
  <si>
    <t>SNAP</t>
  </si>
  <si>
    <t>SNAP INC CLASS A COMMON STOCK WE ACTED AS AGENT</t>
  </si>
  <si>
    <t>2018-12-26 12:00:00 AM</t>
  </si>
  <si>
    <t>2018-12-28 12:00:00 AM</t>
  </si>
  <si>
    <t>VANGUARD TOTAL BOND MARKET ETF WE ACTED AS AGENT</t>
  </si>
  <si>
    <t>2018-10-03 12:00:00 AM</t>
  </si>
  <si>
    <t>2018-10-05 12:00:00 AM</t>
  </si>
  <si>
    <t>UAN</t>
  </si>
  <si>
    <t>CVR PARTNERS LP WE ACTED AS AGENT</t>
  </si>
  <si>
    <t>2018-09-26 12:00:00 AM</t>
  </si>
  <si>
    <t>2018-05-08 12:00:00 AM</t>
  </si>
  <si>
    <t>2018-02-09 12:00:00 AM</t>
  </si>
  <si>
    <t>2018-02-13 12:00:00 AM</t>
  </si>
  <si>
    <t>2017-07-26 12:00:00 AM</t>
  </si>
  <si>
    <t>ADVANCED MICRO DEVICES INC COM WE ACTED AS AGENT</t>
  </si>
  <si>
    <t>2017-06-09 12:00:00 AM</t>
  </si>
  <si>
    <t>2017-06-14 12:00:00 AM</t>
  </si>
  <si>
    <t>2017-05-18 12:00:00 AM</t>
  </si>
  <si>
    <t>2016-10-28 12:00:00 AM</t>
  </si>
  <si>
    <t>2016-11-02 12:00:00 AM</t>
  </si>
  <si>
    <t>2015-09-01 12:00:00 AM</t>
  </si>
  <si>
    <t>2015-09-04 12:00:00 AM</t>
  </si>
  <si>
    <t>TVIX</t>
  </si>
  <si>
    <t>CREDIT SUISSE AG NASSAU BRH VELOCITYSHARES DAILY 2X VIX SHORT TERM ETN WE ACTED AS AGENT</t>
  </si>
  <si>
    <t>2015-07-15 12:00:00 AM</t>
  </si>
  <si>
    <t>2015-06-09 12:00:00 AM</t>
  </si>
  <si>
    <t>2015-06-12 12:00:00 AM</t>
  </si>
  <si>
    <t>CREDIT SUISSE AG VELOCITYSHARES DAILY 2X VIX SHORT TERM ETN WE ACTED AS AGENT</t>
  </si>
  <si>
    <t>2015-06-03 12:00:00 AM</t>
  </si>
  <si>
    <t>BLACKBERRY LTD COM WE ACTED AS AGENT</t>
  </si>
  <si>
    <t>ECA</t>
  </si>
  <si>
    <t>ENCANA CORP WE ACTED AS AGENT</t>
  </si>
  <si>
    <t>2015-03-10 12:00:00 AM</t>
  </si>
  <si>
    <t>2015-02-19 12:00:00 AM</t>
  </si>
  <si>
    <t>UCO</t>
  </si>
  <si>
    <t>PROSHARES TR II PROSHARES ULTRA BLOOMBERG CRUDE OIL WE ACTED AS AGENT</t>
  </si>
  <si>
    <t>2015-01-23 12:00:00 AM</t>
  </si>
  <si>
    <t>ADVANCED MICRO DEVICES INC WE ACTED AS AGENT</t>
  </si>
  <si>
    <t>2014-06-27 12:00:00 AM</t>
  </si>
  <si>
    <t>SH</t>
  </si>
  <si>
    <t>PROSHARES SHORT S&amp;P500 ETF WE ACTED AS AGENT</t>
  </si>
  <si>
    <t>2014-06-05 12:00:00 AM</t>
  </si>
  <si>
    <t>2014-05-09 12:00:00 AM</t>
  </si>
  <si>
    <t>TWITTER INC WE ACTED AS AGENT AVG PRICE - ASK US FOR DETAILS</t>
  </si>
  <si>
    <t>2014-05-08 12:00:00 AM</t>
  </si>
  <si>
    <t>2014-03-04 12:00:00 AM</t>
  </si>
  <si>
    <t>2014-02-21 12:00:00 AM</t>
  </si>
  <si>
    <t>VXX</t>
  </si>
  <si>
    <t>BARCLAYS BANK PLC IPATH S&amp;P 500 VIX SHORT TERM FUTURES ETN NEW 2013 WE ACTED AS AGENT</t>
  </si>
  <si>
    <t>2014-02-13 12:00:00 AM</t>
  </si>
  <si>
    <t>2014-02-03 12:00:00 AM</t>
  </si>
  <si>
    <t>2014-01-24 12:00:00 AM</t>
  </si>
  <si>
    <t>2014-01-10 12:00:00 AM</t>
  </si>
  <si>
    <t>2013-10-30 12:00:00 AM</t>
  </si>
  <si>
    <t>2013-10-29 12:00:00 AM</t>
  </si>
  <si>
    <t>MHO</t>
  </si>
  <si>
    <t>MI HOMES INC FORMERLY M I SCHOTTENSTEIN HOMES INC NEW WE ACTED AS AGENT</t>
  </si>
  <si>
    <t>2013-10-15 12:00:00 AM</t>
  </si>
  <si>
    <t>ALCOA INC WE ACTED AS AGENT</t>
  </si>
  <si>
    <t>2013-10-07 12:00:00 AM</t>
  </si>
  <si>
    <t>2013-09-09 12:00:00 AM</t>
  </si>
  <si>
    <t>MU</t>
  </si>
  <si>
    <t>MICRON TECHNOLOGY INC WE ACTED AS AGENT</t>
  </si>
  <si>
    <t>CVR PARTNERS LP WE ACTED AS AGENT AVG PRICE - ASK US FOR DETAILS</t>
  </si>
  <si>
    <t>CHK</t>
  </si>
  <si>
    <t>CHESAPEAKE ENERGY CORP WE ACTED AS AGENT</t>
  </si>
  <si>
    <t>2013-07-29 12:00:00 AM</t>
  </si>
  <si>
    <t>2013-07-01 12:00:00 AM</t>
  </si>
  <si>
    <t>2012-11-01 12:00:00 AM</t>
  </si>
  <si>
    <t>2012-11-06 12:00:00 AM</t>
  </si>
  <si>
    <t>BB.TO</t>
  </si>
  <si>
    <t>RESEARCH IN MOTION LTD AS AGENTS, WE HAVE BOUGHT OR SOLD FOR YOUR ACCOUNT</t>
  </si>
  <si>
    <t>2012-06-26 12:00:00 AM</t>
  </si>
  <si>
    <t>2012-06-29 12:00:00 AM</t>
  </si>
  <si>
    <t>2012-04-17 12:00:00 AM</t>
  </si>
  <si>
    <t>SR</t>
  </si>
  <si>
    <t>STANDARD REGISTER CO AS AGENTS, WE HAVE BOUGHT OR SOLD FOR YOUR ACCOUNT</t>
  </si>
  <si>
    <t>2012-02-14 12:00:00 AM</t>
  </si>
  <si>
    <t>RESEARCH IN MOTION LTD</t>
  </si>
  <si>
    <t>NVDA</t>
  </si>
  <si>
    <t>NVIDIA CORP</t>
  </si>
  <si>
    <t>2012-01-27 12:00:00 AM</t>
  </si>
  <si>
    <t>2012-02-01 12:00:00 AM</t>
  </si>
  <si>
    <t>RESEARCH IN MOTION LTD AS OF 01/27/12</t>
  </si>
  <si>
    <t>2012-01-24 12:00:00 AM</t>
  </si>
  <si>
    <t>BAC</t>
  </si>
  <si>
    <t>BANK OF AMERICA CORP</t>
  </si>
  <si>
    <t>2011-12-06 12:00:00 AM</t>
  </si>
  <si>
    <t>TQNT</t>
  </si>
  <si>
    <t>TRIQUINT SEMICONDUCTOR INC AS AGENTS, WE HAVE BOUGHT OR SOLD FOR YOUR ACCOUNT</t>
  </si>
  <si>
    <t>2011-11-28 12:00:00 AM</t>
  </si>
  <si>
    <t>BANK OF AMERICA CORP AS AGENTS, WE HAVE BOUGHT OR SOLD FOR YOUR ACCOUNT</t>
  </si>
  <si>
    <t>NVIDIA CORP AS AGENTS, WE HAVE BOUGHT OR SOLD FOR YOUR ACCOUNT</t>
  </si>
  <si>
    <t>2011-11-16 12:00:00 AM</t>
  </si>
  <si>
    <t>2011-11-21 12:00:00 AM</t>
  </si>
  <si>
    <t>HOD.TO</t>
  </si>
  <si>
    <t>HORIZONS BETAPRO NYMEX CRUDE OIL BEAR PLUS ETF UNIT CL A AS AGENTS, WE HAVE BOUGHT</t>
  </si>
  <si>
    <t>2011-11-14 12:00:00 AM</t>
  </si>
  <si>
    <t>BPZRQ</t>
  </si>
  <si>
    <t>BPZ RESOURCES INC AS AGENTS, WE HAVE BOUGHT OR SOLD FOR YOUR ACCOUNT AVG.PRICE DETAILS ON REQUES</t>
  </si>
  <si>
    <t>2011-11-07 12:00:00 AM</t>
  </si>
  <si>
    <t>BPZ RESOURCES INC AS AGENTS, WE HAVE BOUGHT OR SOLD FOR YOUR ACCOUNT</t>
  </si>
  <si>
    <t>2011-11-01 12:00:00 AM</t>
  </si>
  <si>
    <t>ISHARES GOLD TRUST AS AGENTS, WE HAVE BOUGHT OR SOLD FOR YOUR ACCOUNT</t>
  </si>
  <si>
    <t>2011-10-25 12:00:00 AM</t>
  </si>
  <si>
    <t>JAGGF</t>
  </si>
  <si>
    <t>JAGUAR MINING INC AS AGENTS, WE HAVE BOUGHT OR SOLD FOR YOUR ACCOUNT</t>
  </si>
  <si>
    <t>2011-10-21 12:00:00 AM</t>
  </si>
  <si>
    <t>C</t>
  </si>
  <si>
    <t>CITIGROUP INC COM NEW AS AGENTS, WE HAVE BOUGHT OR SOLD FOR YOUR ACCOUNT</t>
  </si>
  <si>
    <t>AMOT</t>
  </si>
  <si>
    <t>ALLIED MOTION TECHNOLOGIES INC AS AGENTS, WE HAVE BOUGHT OR SOLD FOR YOUR ACCOUNT AVG.PRICE DETAILS ON REQUES</t>
  </si>
  <si>
    <t>ALLIED MOTION TECHNOLOGIES INC AS AGENTS, WE HAVE BOUGHT OR SOLD FOR YOUR ACCOUNT</t>
  </si>
  <si>
    <t>2011-10-13 12:00:00 AM</t>
  </si>
  <si>
    <t>CLWR</t>
  </si>
  <si>
    <t>CLEARWIRE CORPORATION CLASS A AS AGENTS, WE HAVE BOUGHT OR SOLD FOR YOUR ACCOUNT</t>
  </si>
  <si>
    <t>2011-09-27 12:00:00 AM</t>
  </si>
  <si>
    <t>2011-09-19 12:00:00 AM</t>
  </si>
  <si>
    <t>OVRL</t>
  </si>
  <si>
    <t>OVERLAND STORAGE INC NEW AS AGENTS, WE HAVE BOUGHT OR SOLD FOR YOUR ACCOUNT</t>
  </si>
  <si>
    <t>DELL</t>
  </si>
  <si>
    <t>DELL INC AS AGENTS, WE HAVE BOUGHT OR SOLD FOR YOUR ACCOUNT</t>
  </si>
  <si>
    <t>2011-09-02 12:00:00 AM</t>
  </si>
  <si>
    <t>GSXN</t>
  </si>
  <si>
    <t>GASCO ENERGY INC AS AGENTS, WE HAVE BOUGHT OR SOLD FOR YOUR ACCOUNT AVG.PRICE DETAILS ON REQUES</t>
  </si>
  <si>
    <t>2011-08-23 12:00:00 AM</t>
  </si>
  <si>
    <t>2011-08-05 12:00:00 AM</t>
  </si>
  <si>
    <t>2011-06-28 12:00:00 AM</t>
  </si>
  <si>
    <t>2011-07-01 12:00:00 AM</t>
  </si>
  <si>
    <t>2011-06-13 12:00:00 AM</t>
  </si>
  <si>
    <t>2011-05-20 12:00:00 AM</t>
  </si>
  <si>
    <t>2011-05-25 12:00:00 AM</t>
  </si>
  <si>
    <t>2011-05-10 12:00:00 AM</t>
  </si>
  <si>
    <t>2011-05-13 12:00:00 AM</t>
  </si>
  <si>
    <t>GASCO ENERGY INC AS AGENTS, WE HAVE BOUGHT OR SOLD FOR YOUR ACCOUNT</t>
  </si>
  <si>
    <t>2011-05-06 12:00:00 AM</t>
  </si>
  <si>
    <t>2011-05-11 12:00:00 AM</t>
  </si>
  <si>
    <t>2011-04-20 12:00:00 AM</t>
  </si>
  <si>
    <t>2011-04-26 12:00:00 AM</t>
  </si>
  <si>
    <t>2011-04-19 12:00:00 AM</t>
  </si>
  <si>
    <t>2011-04-25 12:00:00 AM</t>
  </si>
  <si>
    <t>INTC</t>
  </si>
  <si>
    <t>FTEC 
REBALANCE</t>
  </si>
  <si>
    <t>construction process</t>
  </si>
  <si>
    <t>1. initial analysis</t>
  </si>
  <si>
    <t xml:space="preserve">2. action - sell </t>
  </si>
  <si>
    <t>3. action - buy</t>
  </si>
  <si>
    <t xml:space="preserve">4. simulation </t>
  </si>
  <si>
    <t>FINVIZ VALUE_2020 SCREENER PORTFOLIO</t>
  </si>
  <si>
    <t>Intel Corporation</t>
  </si>
  <si>
    <t>BTI</t>
  </si>
  <si>
    <t>British American Tobacco p.l.c.</t>
  </si>
  <si>
    <t>VIAC</t>
  </si>
  <si>
    <t>ViacomCBS Inc.</t>
  </si>
  <si>
    <t>ACI</t>
  </si>
  <si>
    <t>Albertsons Companies, Inc.</t>
  </si>
  <si>
    <t>NXST</t>
  </si>
  <si>
    <t>Nexstar Media Group, Inc.</t>
  </si>
  <si>
    <t>TKC</t>
  </si>
  <si>
    <t>Turkcell Iletisim Hizmetleri A.S.</t>
  </si>
  <si>
    <t>FHI</t>
  </si>
  <si>
    <t>Federated Hermes, Inc.</t>
  </si>
  <si>
    <t>TROX</t>
  </si>
  <si>
    <t>Tronox Holdings plc</t>
  </si>
  <si>
    <t>HEP</t>
  </si>
  <si>
    <t>Holly Energy Partners, L.P.</t>
  </si>
  <si>
    <t>FRO</t>
  </si>
  <si>
    <t>Frontline Ltd.</t>
  </si>
  <si>
    <t>GEO</t>
  </si>
  <si>
    <t>The GEO Group, Inc.</t>
  </si>
  <si>
    <t>DHT</t>
  </si>
  <si>
    <t>DHT Holdings, Inc.</t>
  </si>
  <si>
    <t>QIWI</t>
  </si>
  <si>
    <t>Qiwi plc</t>
  </si>
  <si>
    <t>TGS</t>
  </si>
  <si>
    <t>Transportadora de Gas del Sur S.A.</t>
  </si>
  <si>
    <t>STNG</t>
  </si>
  <si>
    <t>Scorpio Tankers Inc.</t>
  </si>
  <si>
    <t>VRS</t>
  </si>
  <si>
    <t>Verso Corporation</t>
  </si>
  <si>
    <t>NOA</t>
  </si>
  <si>
    <t>North American Construction Group Ltd.</t>
  </si>
  <si>
    <t>ASC</t>
  </si>
  <si>
    <t>Ardmore Shipping Corporation</t>
  </si>
  <si>
    <t>Price - Nov 26, 2020</t>
  </si>
  <si>
    <t xml:space="preserve">Price Today </t>
  </si>
  <si>
    <t>Ticker</t>
  </si>
  <si>
    <t>Market Cap</t>
  </si>
  <si>
    <t>Current Price</t>
  </si>
  <si>
    <t>Price-to-Book</t>
  </si>
  <si>
    <t>IEP</t>
  </si>
  <si>
    <t>ANY</t>
  </si>
  <si>
    <t>WIT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</si>
</sst>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&quot;$&quot;* #,##0.00_);_(&quot;$&quot;* \(#,##0.00\);_(&quot;$&quot;* &quot;-&quot;??_);_(@_)"/>
    <numFmt numFmtId="168" formatCode="[$$-1009]#,##0.00;\-[$$-1009]#,##0.00"/>
    <numFmt numFmtId="169" formatCode="0.0000%"/>
    <numFmt numFmtId="170" formatCode="&quot;$&quot;#,##0.00;[Red]&quot;$&quot;#,##0.00"/>
  </numFmts>
  <fonts count="1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1" applyNumberFormat="0" applyFill="0" applyBorder="0" applyAlignment="0" applyProtection="0"/>
    <xf numFmtId="16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2" fillId="0" borderId="1"/>
    <xf numFmtId="0" fontId="1" fillId="0" borderId="1"/>
  </cellStyleXfs>
  <cellXfs count="65">
    <xf numFmtId="0" fontId="0" fillId="0" borderId="0" xfId="0" applyFont="1" applyAlignment="1"/>
    <xf numFmtId="0" fontId="0" fillId="2" borderId="1" xfId="0" applyFont="1" applyFill="1" applyBorder="1"/>
    <xf numFmtId="0" fontId="5" fillId="0" borderId="0" xfId="0" applyFont="1" applyAlignment="1"/>
    <xf numFmtId="0" fontId="0" fillId="0" borderId="4" xfId="0" applyFont="1" applyBorder="1" applyAlignment="1"/>
    <xf numFmtId="164" fontId="0" fillId="0" borderId="0" xfId="2" applyFont="1" applyAlignment="1"/>
    <xf numFmtId="0" fontId="4" fillId="0" borderId="1" xfId="0" applyFont="1" applyFill="1" applyBorder="1" applyAlignment="1"/>
    <xf numFmtId="0" fontId="5" fillId="0" borderId="1" xfId="0" applyFont="1" applyFill="1" applyBorder="1" applyAlignment="1"/>
    <xf numFmtId="0" fontId="0" fillId="0" borderId="0" xfId="0"/>
    <xf numFmtId="0" fontId="4" fillId="0" borderId="0" xfId="0" applyFont="1" applyAlignment="1"/>
    <xf numFmtId="0" fontId="4" fillId="0" borderId="2" xfId="0" applyFont="1" applyBorder="1" applyAlignment="1"/>
    <xf numFmtId="2" fontId="0" fillId="0" borderId="0" xfId="0" applyNumberFormat="1"/>
    <xf numFmtId="2" fontId="0" fillId="0" borderId="0" xfId="0" applyNumberFormat="1" applyFont="1" applyAlignment="1"/>
    <xf numFmtId="0" fontId="0" fillId="0" borderId="0" xfId="0" applyFont="1" applyAlignment="1"/>
    <xf numFmtId="0" fontId="0" fillId="0" borderId="0" xfId="0" applyFont="1" applyAlignment="1"/>
    <xf numFmtId="0" fontId="0" fillId="0" borderId="4" xfId="0" applyBorder="1"/>
    <xf numFmtId="2" fontId="0" fillId="0" borderId="4" xfId="0" applyNumberFormat="1" applyBorder="1"/>
    <xf numFmtId="2" fontId="4" fillId="0" borderId="4" xfId="0" applyNumberFormat="1" applyFont="1" applyBorder="1" applyAlignment="1"/>
    <xf numFmtId="2" fontId="5" fillId="0" borderId="0" xfId="0" applyNumberFormat="1" applyFont="1" applyAlignment="1"/>
    <xf numFmtId="0" fontId="8" fillId="0" borderId="1" xfId="0" applyFont="1" applyFill="1" applyBorder="1" applyAlignment="1"/>
    <xf numFmtId="0" fontId="4" fillId="0" borderId="5" xfId="0" applyFont="1" applyBorder="1" applyAlignment="1"/>
    <xf numFmtId="0" fontId="5" fillId="0" borderId="2" xfId="0" applyFont="1" applyBorder="1" applyAlignment="1"/>
    <xf numFmtId="168" fontId="0" fillId="0" borderId="0" xfId="2" applyNumberFormat="1" applyFont="1"/>
    <xf numFmtId="168" fontId="0" fillId="0" borderId="4" xfId="2" applyNumberFormat="1" applyFont="1" applyBorder="1"/>
    <xf numFmtId="0" fontId="4" fillId="0" borderId="2" xfId="0" applyFont="1" applyFill="1" applyBorder="1" applyAlignment="1"/>
    <xf numFmtId="9" fontId="0" fillId="0" borderId="0" xfId="3" applyFont="1" applyAlignment="1"/>
    <xf numFmtId="169" fontId="0" fillId="0" borderId="0" xfId="3" applyNumberFormat="1" applyFont="1" applyAlignment="1"/>
    <xf numFmtId="0" fontId="4" fillId="4" borderId="3" xfId="0" applyFont="1" applyFill="1" applyBorder="1" applyAlignment="1">
      <alignment horizontal="right"/>
    </xf>
    <xf numFmtId="164" fontId="4" fillId="4" borderId="8" xfId="0" applyNumberFormat="1" applyFont="1" applyFill="1" applyBorder="1" applyAlignment="1"/>
    <xf numFmtId="0" fontId="4" fillId="4" borderId="9" xfId="0" applyFont="1" applyFill="1" applyBorder="1" applyAlignment="1">
      <alignment horizontal="right"/>
    </xf>
    <xf numFmtId="0" fontId="4" fillId="4" borderId="10" xfId="0" applyNumberFormat="1" applyFont="1" applyFill="1" applyBorder="1" applyAlignment="1"/>
    <xf numFmtId="0" fontId="4" fillId="4" borderId="7" xfId="0" applyFont="1" applyFill="1" applyBorder="1" applyAlignment="1"/>
    <xf numFmtId="10" fontId="4" fillId="4" borderId="7" xfId="3" applyNumberFormat="1" applyFont="1" applyFill="1" applyBorder="1" applyAlignment="1"/>
    <xf numFmtId="0" fontId="4" fillId="5" borderId="4" xfId="0" applyFont="1" applyFill="1" applyBorder="1" applyAlignment="1"/>
    <xf numFmtId="0" fontId="4" fillId="0" borderId="11" xfId="0" applyFont="1" applyBorder="1" applyAlignment="1"/>
    <xf numFmtId="170" fontId="4" fillId="0" borderId="11" xfId="0" applyNumberFormat="1" applyFont="1" applyBorder="1" applyAlignment="1"/>
    <xf numFmtId="170" fontId="0" fillId="0" borderId="0" xfId="0" applyNumberFormat="1" applyFont="1" applyAlignment="1"/>
    <xf numFmtId="170" fontId="5" fillId="0" borderId="2" xfId="0" applyNumberFormat="1" applyFont="1" applyBorder="1" applyAlignment="1"/>
    <xf numFmtId="170" fontId="0" fillId="0" borderId="0" xfId="2" applyNumberFormat="1" applyFont="1" applyAlignment="1"/>
    <xf numFmtId="170" fontId="0" fillId="0" borderId="1" xfId="2" applyNumberFormat="1" applyFont="1" applyBorder="1" applyAlignment="1"/>
    <xf numFmtId="170" fontId="0" fillId="0" borderId="4" xfId="0" applyNumberFormat="1" applyFont="1" applyBorder="1" applyAlignment="1"/>
    <xf numFmtId="170" fontId="0" fillId="0" borderId="4" xfId="2" applyNumberFormat="1" applyFont="1" applyBorder="1" applyAlignment="1"/>
    <xf numFmtId="170" fontId="4" fillId="0" borderId="5" xfId="0" applyNumberFormat="1" applyFont="1" applyBorder="1" applyAlignment="1"/>
    <xf numFmtId="170" fontId="0" fillId="0" borderId="6" xfId="0" applyNumberFormat="1" applyFont="1" applyBorder="1" applyAlignment="1"/>
    <xf numFmtId="0" fontId="0" fillId="6" borderId="0" xfId="0" applyFont="1" applyFill="1" applyAlignment="1"/>
    <xf numFmtId="0" fontId="4" fillId="7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0" fillId="0" borderId="4" xfId="0" applyFont="1" applyFill="1" applyBorder="1" applyAlignment="1"/>
    <xf numFmtId="0" fontId="4" fillId="0" borderId="4" xfId="0" applyFont="1" applyBorder="1"/>
    <xf numFmtId="0" fontId="0" fillId="0" borderId="0" xfId="0" applyNumberFormat="1"/>
    <xf numFmtId="0" fontId="7" fillId="0" borderId="1" xfId="0" applyFont="1" applyFill="1" applyBorder="1" applyAlignment="1"/>
    <xf numFmtId="0" fontId="10" fillId="0" borderId="0" xfId="0" applyFont="1" applyFill="1" applyAlignment="1"/>
    <xf numFmtId="0" fontId="0" fillId="0" borderId="0" xfId="0" applyFont="1" applyFill="1" applyAlignment="1"/>
    <xf numFmtId="0" fontId="9" fillId="0" borderId="0" xfId="0" applyFont="1" applyAlignment="1">
      <alignment horizontal="left" vertical="center"/>
    </xf>
    <xf numFmtId="0" fontId="0" fillId="0" borderId="1" xfId="0" applyBorder="1"/>
    <xf numFmtId="164" fontId="0" fillId="0" borderId="1" xfId="2" applyFont="1" applyBorder="1"/>
    <xf numFmtId="0" fontId="3" fillId="0" borderId="0" xfId="1" applyFill="1" applyBorder="1" applyAlignment="1">
      <alignment horizontal="right" vertical="center" wrapText="1"/>
    </xf>
    <xf numFmtId="0" fontId="4" fillId="0" borderId="13" xfId="0" applyFont="1" applyBorder="1" applyAlignment="1"/>
    <xf numFmtId="0" fontId="0" fillId="0" borderId="0" xfId="0" applyFont="1" applyAlignment="1"/>
    <xf numFmtId="0" fontId="11" fillId="8" borderId="12" xfId="0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 vertical="center"/>
    </xf>
    <xf numFmtId="0" fontId="11" fillId="8" borderId="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</cellXfs>
  <cellStyles count="6">
    <cellStyle name="Currency" xfId="2" builtinId="4"/>
    <cellStyle name="Hyperlink" xfId="1" builtinId="8"/>
    <cellStyle name="Normal" xfId="0" builtinId="0"/>
    <cellStyle name="Normal 2" xfId="4"/>
    <cellStyle name="Normal 3" xfId="5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MSN MoneyCentral Investor Stock Quotes" firstBackgroundRefresh="1" preserveFormatting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U53"/>
  <sheetViews>
    <sheetView topLeftCell="A22" workbookViewId="0">
      <selection activeCell="C36" sqref="C36"/>
    </sheetView>
  </sheetViews>
  <sheetFormatPr defaultRowHeight="15" x14ac:dyDescent="0.25"/>
  <cols>
    <col min="1" max="1" width="21" customWidth="1"/>
    <col min="2" max="2" width="13.7109375" bestFit="1" customWidth="1"/>
    <col min="3" max="3" width="8.7109375" bestFit="1" customWidth="1"/>
    <col min="4" max="4" width="35.85546875" customWidth="1"/>
    <col min="5" max="5" width="18.42578125" customWidth="1"/>
    <col min="6" max="6" width="16.85546875" customWidth="1"/>
    <col min="7" max="7" width="16" customWidth="1"/>
    <col min="8" max="8" width="14.28515625" bestFit="1" customWidth="1"/>
    <col min="9" max="9" width="12.7109375" bestFit="1" customWidth="1"/>
    <col min="10" max="11" width="13.28515625" bestFit="1" customWidth="1"/>
    <col min="13" max="13" width="30.85546875" bestFit="1" customWidth="1"/>
    <col min="14" max="14" width="10.5703125" bestFit="1" customWidth="1"/>
    <col min="15" max="15" width="13.5703125" bestFit="1" customWidth="1"/>
    <col min="16" max="16" width="16" bestFit="1" customWidth="1"/>
    <col min="17" max="17" width="28" bestFit="1" customWidth="1"/>
  </cols>
  <sheetData>
    <row r="2" spans="1:21" ht="21" x14ac:dyDescent="0.35">
      <c r="B2" s="61" t="s">
        <v>931</v>
      </c>
      <c r="C2" s="61"/>
      <c r="D2" s="61"/>
      <c r="E2" s="52" t="s">
        <v>932</v>
      </c>
      <c r="F2" s="52" t="s">
        <v>933</v>
      </c>
      <c r="G2" s="52" t="s">
        <v>934</v>
      </c>
      <c r="H2" s="52" t="s">
        <v>935</v>
      </c>
    </row>
    <row r="5" spans="1:21" ht="15.75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</row>
    <row r="6" spans="1:21" s="51" customFormat="1" ht="21" x14ac:dyDescent="0.35">
      <c r="A6" s="58" t="s">
        <v>930</v>
      </c>
      <c r="B6" s="49"/>
      <c r="C6" s="49"/>
      <c r="D6" s="49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</row>
    <row r="7" spans="1:21" x14ac:dyDescent="0.25">
      <c r="A7" s="59"/>
    </row>
    <row r="8" spans="1:21" ht="18.75" x14ac:dyDescent="0.3">
      <c r="A8" s="59"/>
      <c r="B8" s="62" t="s">
        <v>127</v>
      </c>
      <c r="C8" s="62"/>
      <c r="D8" s="62"/>
      <c r="E8" s="62"/>
      <c r="F8" s="62"/>
      <c r="G8" s="62"/>
      <c r="H8" s="62"/>
      <c r="I8" s="62"/>
      <c r="J8" s="62"/>
      <c r="M8" s="62" t="s">
        <v>128</v>
      </c>
      <c r="N8" s="62"/>
      <c r="O8" s="62"/>
      <c r="P8" s="62"/>
      <c r="Q8" s="18"/>
      <c r="R8" s="18"/>
      <c r="S8" s="18"/>
      <c r="T8" s="18"/>
      <c r="U8" s="18"/>
    </row>
    <row r="9" spans="1:21" x14ac:dyDescent="0.25">
      <c r="A9" s="59"/>
      <c r="B9" s="7" t="s">
        <v>92</v>
      </c>
      <c r="C9" s="7" t="s">
        <v>94</v>
      </c>
      <c r="D9" s="7" t="s">
        <v>95</v>
      </c>
      <c r="E9" s="7" t="s">
        <v>96</v>
      </c>
      <c r="F9" s="7" t="s">
        <v>97</v>
      </c>
      <c r="G9" s="7" t="s">
        <v>98</v>
      </c>
      <c r="H9" s="7" t="s">
        <v>99</v>
      </c>
      <c r="I9" s="7" t="s">
        <v>100</v>
      </c>
      <c r="J9" s="7" t="s">
        <v>101</v>
      </c>
      <c r="K9" s="12"/>
      <c r="M9" s="9" t="s">
        <v>7</v>
      </c>
      <c r="N9" s="9" t="s">
        <v>124</v>
      </c>
      <c r="O9" s="9" t="s">
        <v>125</v>
      </c>
      <c r="P9" s="23" t="s">
        <v>126</v>
      </c>
    </row>
    <row r="10" spans="1:21" x14ac:dyDescent="0.25">
      <c r="A10" s="59"/>
      <c r="B10" s="7" t="s">
        <v>106</v>
      </c>
      <c r="C10" s="7">
        <v>5</v>
      </c>
      <c r="D10" s="21">
        <v>63.49</v>
      </c>
      <c r="E10" s="21">
        <v>317.45</v>
      </c>
      <c r="F10" s="21">
        <v>9.43</v>
      </c>
      <c r="G10" s="21">
        <f t="shared" ref="G10:G24" si="0">F10*C10</f>
        <v>47.15</v>
      </c>
      <c r="H10" s="7">
        <v>-270.3</v>
      </c>
      <c r="I10" s="7">
        <v>-85.147267286186803</v>
      </c>
      <c r="J10" s="10">
        <v>0.26547599999999999</v>
      </c>
      <c r="K10" s="11"/>
      <c r="M10" s="7" t="s">
        <v>106</v>
      </c>
      <c r="N10" s="43">
        <v>10</v>
      </c>
      <c r="O10" s="35">
        <f>(N10-D10)*C10</f>
        <v>-267.45</v>
      </c>
      <c r="P10" s="37">
        <f>N10*C10</f>
        <v>50</v>
      </c>
    </row>
    <row r="11" spans="1:21" x14ac:dyDescent="0.25">
      <c r="A11" s="59"/>
      <c r="B11" s="7" t="s">
        <v>87</v>
      </c>
      <c r="C11" s="7">
        <v>150</v>
      </c>
      <c r="D11" s="21">
        <v>15.198</v>
      </c>
      <c r="E11" s="21">
        <v>2279.6999999999998</v>
      </c>
      <c r="F11" s="21">
        <v>6.14</v>
      </c>
      <c r="G11" s="21">
        <f t="shared" si="0"/>
        <v>921</v>
      </c>
      <c r="H11" s="7">
        <v>-1358.7</v>
      </c>
      <c r="I11" s="7">
        <v>-59.599947361494898</v>
      </c>
      <c r="J11" s="10">
        <v>29.891921</v>
      </c>
      <c r="K11" s="11"/>
      <c r="M11" s="7" t="s">
        <v>87</v>
      </c>
      <c r="N11" t="s">
        <v>81</v>
      </c>
      <c r="O11" s="35"/>
      <c r="P11" s="37"/>
    </row>
    <row r="12" spans="1:21" x14ac:dyDescent="0.25">
      <c r="A12" s="59"/>
      <c r="B12" s="7" t="s">
        <v>114</v>
      </c>
      <c r="C12" s="7">
        <v>55</v>
      </c>
      <c r="D12" s="21">
        <v>5.35090909</v>
      </c>
      <c r="E12" s="21">
        <v>294.3</v>
      </c>
      <c r="F12" s="21">
        <v>2.1800000000000002</v>
      </c>
      <c r="G12" s="21">
        <f t="shared" si="0"/>
        <v>119.9</v>
      </c>
      <c r="H12" s="7">
        <v>-174.4</v>
      </c>
      <c r="I12" s="7">
        <v>-59.259259259259302</v>
      </c>
      <c r="J12" s="10">
        <v>3.891467</v>
      </c>
      <c r="K12" s="11"/>
      <c r="M12" s="7" t="s">
        <v>114</v>
      </c>
      <c r="N12" s="43">
        <v>2</v>
      </c>
      <c r="O12" s="35">
        <f>(N12-D12)*C12</f>
        <v>-184.29999995</v>
      </c>
      <c r="P12" s="37">
        <f>N12*C12</f>
        <v>110</v>
      </c>
      <c r="Q12" s="44" t="s">
        <v>143</v>
      </c>
    </row>
    <row r="13" spans="1:21" x14ac:dyDescent="0.25">
      <c r="A13" s="59"/>
      <c r="B13" s="7" t="s">
        <v>88</v>
      </c>
      <c r="C13" s="7">
        <v>140</v>
      </c>
      <c r="D13" s="21">
        <v>8.3707142900000004</v>
      </c>
      <c r="E13" s="21">
        <v>1171.9000000000001</v>
      </c>
      <c r="F13" s="21">
        <v>4.93</v>
      </c>
      <c r="G13" s="21">
        <f t="shared" si="0"/>
        <v>690.19999999999993</v>
      </c>
      <c r="H13" s="7">
        <v>-481.7</v>
      </c>
      <c r="I13" s="7">
        <v>-41.104189777284802</v>
      </c>
      <c r="J13" s="10">
        <v>3.8861509999999999</v>
      </c>
      <c r="K13" s="11"/>
      <c r="M13" s="7" t="s">
        <v>88</v>
      </c>
      <c r="N13" s="43">
        <v>5.2</v>
      </c>
      <c r="O13" s="35">
        <f>(N13-D13)*C13</f>
        <v>-443.90000060000006</v>
      </c>
      <c r="P13" s="37">
        <f>N13*C13</f>
        <v>728</v>
      </c>
      <c r="Q13" s="45" t="s">
        <v>144</v>
      </c>
      <c r="R13" s="35"/>
    </row>
    <row r="14" spans="1:21" x14ac:dyDescent="0.25">
      <c r="A14" s="59"/>
      <c r="B14" s="7" t="s">
        <v>109</v>
      </c>
      <c r="C14" s="7">
        <v>25</v>
      </c>
      <c r="D14" s="21">
        <v>41.6</v>
      </c>
      <c r="E14" s="21">
        <v>1040</v>
      </c>
      <c r="F14" s="21">
        <v>26.75</v>
      </c>
      <c r="G14" s="21">
        <f t="shared" si="0"/>
        <v>668.75</v>
      </c>
      <c r="H14" s="7">
        <v>-371.25</v>
      </c>
      <c r="I14" s="7">
        <v>-35.697115384615401</v>
      </c>
      <c r="J14" s="10">
        <v>3.7653780000000001</v>
      </c>
      <c r="K14" s="17" t="s">
        <v>123</v>
      </c>
      <c r="M14" s="7" t="s">
        <v>109</v>
      </c>
      <c r="N14" s="43">
        <v>29.15</v>
      </c>
      <c r="O14" s="35">
        <f>(N14-D14)*C14</f>
        <v>-311.25000000000006</v>
      </c>
      <c r="P14" s="38">
        <f>N14*C14</f>
        <v>728.75</v>
      </c>
    </row>
    <row r="15" spans="1:21" ht="15.75" thickBot="1" x14ac:dyDescent="0.3">
      <c r="A15" s="59"/>
      <c r="B15" s="14" t="s">
        <v>111</v>
      </c>
      <c r="C15" s="14">
        <v>70</v>
      </c>
      <c r="D15" s="22">
        <v>10.770714290000001</v>
      </c>
      <c r="E15" s="22">
        <v>753.95</v>
      </c>
      <c r="F15" s="22">
        <v>7.38</v>
      </c>
      <c r="G15" s="22">
        <f t="shared" si="0"/>
        <v>516.6</v>
      </c>
      <c r="H15" s="14">
        <v>-237.35</v>
      </c>
      <c r="I15" s="14">
        <v>-31.480867431527301</v>
      </c>
      <c r="J15" s="15">
        <v>16.766739000000001</v>
      </c>
      <c r="K15" s="16">
        <f>SUM(G10:G15)</f>
        <v>2963.6</v>
      </c>
      <c r="M15" s="14" t="s">
        <v>111</v>
      </c>
      <c r="N15" s="46">
        <v>10.77</v>
      </c>
      <c r="O15" s="39">
        <f>(N15-D15)*C15</f>
        <v>-5.0000300000085929E-2</v>
      </c>
      <c r="P15" s="40">
        <f>N15*C15</f>
        <v>753.9</v>
      </c>
    </row>
    <row r="16" spans="1:21" ht="15.75" thickBot="1" x14ac:dyDescent="0.3">
      <c r="A16" s="59"/>
      <c r="B16" s="7" t="s">
        <v>87</v>
      </c>
      <c r="C16" s="7">
        <v>200</v>
      </c>
      <c r="D16" s="21">
        <v>7.3594999999999997</v>
      </c>
      <c r="E16" s="21">
        <v>1471.9</v>
      </c>
      <c r="F16" s="21">
        <v>6.14</v>
      </c>
      <c r="G16" s="21">
        <f t="shared" si="0"/>
        <v>1228</v>
      </c>
      <c r="H16" s="7">
        <v>-243.9</v>
      </c>
      <c r="I16" s="7">
        <v>-16.570419186085999</v>
      </c>
      <c r="J16" s="10">
        <v>6.9142190000000001</v>
      </c>
      <c r="K16" s="11"/>
      <c r="N16" s="19" t="s">
        <v>86</v>
      </c>
      <c r="O16" s="41">
        <f>SUM(O10:O15)</f>
        <v>-1206.9500008500002</v>
      </c>
      <c r="P16" s="42">
        <f>SUM(P10:P15)</f>
        <v>2370.65</v>
      </c>
      <c r="Q16" s="35">
        <f>SUM(P12:P14,P10)</f>
        <v>1616.75</v>
      </c>
    </row>
    <row r="17" spans="1:21" ht="15.75" thickTop="1" x14ac:dyDescent="0.25">
      <c r="A17" s="59"/>
      <c r="B17" s="7" t="s">
        <v>105</v>
      </c>
      <c r="C17" s="7">
        <v>35</v>
      </c>
      <c r="D17" s="21">
        <v>47.608571429999998</v>
      </c>
      <c r="E17" s="21">
        <v>1666.3</v>
      </c>
      <c r="F17" s="21">
        <v>40</v>
      </c>
      <c r="G17" s="21">
        <f t="shared" si="0"/>
        <v>1400</v>
      </c>
      <c r="H17" s="7">
        <v>-266.3</v>
      </c>
      <c r="I17" s="7">
        <v>-15.981515933505399</v>
      </c>
      <c r="J17" s="10">
        <v>7.8826599999999996</v>
      </c>
      <c r="K17" s="11"/>
    </row>
    <row r="18" spans="1:21" x14ac:dyDescent="0.25">
      <c r="A18" s="59"/>
      <c r="B18" s="7" t="s">
        <v>119</v>
      </c>
      <c r="C18" s="7">
        <v>30</v>
      </c>
      <c r="D18" s="21">
        <v>18.5</v>
      </c>
      <c r="E18" s="21">
        <v>555</v>
      </c>
      <c r="F18" s="21">
        <v>18.41</v>
      </c>
      <c r="G18" s="21">
        <f t="shared" si="0"/>
        <v>552.29999999999995</v>
      </c>
      <c r="H18" s="7">
        <v>-2.7</v>
      </c>
      <c r="I18" s="7">
        <v>-0.48648648648648601</v>
      </c>
      <c r="J18" s="10">
        <v>3.1097090000000001</v>
      </c>
      <c r="K18" s="11"/>
    </row>
    <row r="19" spans="1:21" ht="18.75" x14ac:dyDescent="0.3">
      <c r="A19" s="59"/>
      <c r="B19" s="7" t="s">
        <v>107</v>
      </c>
      <c r="C19" s="7">
        <v>40</v>
      </c>
      <c r="D19" s="21">
        <v>33.182499999999997</v>
      </c>
      <c r="E19" s="21">
        <v>1327.3</v>
      </c>
      <c r="F19" s="21">
        <v>35.93</v>
      </c>
      <c r="G19" s="21">
        <f t="shared" si="0"/>
        <v>1437.2</v>
      </c>
      <c r="H19" s="7">
        <v>109.9</v>
      </c>
      <c r="I19" s="7">
        <v>8.2799668499962298</v>
      </c>
      <c r="J19" s="10">
        <v>8.0921140000000005</v>
      </c>
      <c r="K19" s="11"/>
      <c r="M19" s="62" t="s">
        <v>129</v>
      </c>
      <c r="N19" s="62"/>
      <c r="O19" s="62"/>
      <c r="P19" s="62"/>
      <c r="Q19" s="62"/>
    </row>
    <row r="20" spans="1:21" x14ac:dyDescent="0.25">
      <c r="A20" s="59"/>
      <c r="B20" s="7" t="s">
        <v>110</v>
      </c>
      <c r="C20" s="7">
        <v>15</v>
      </c>
      <c r="D20" s="21">
        <v>78.72</v>
      </c>
      <c r="E20" s="21">
        <v>1180.8</v>
      </c>
      <c r="F20" s="21">
        <v>88.36</v>
      </c>
      <c r="G20" s="21">
        <f t="shared" si="0"/>
        <v>1325.4</v>
      </c>
      <c r="H20" s="7">
        <v>144.6</v>
      </c>
      <c r="I20" s="7">
        <v>12.245934959349601</v>
      </c>
      <c r="J20" s="10">
        <v>7.4626270000000003</v>
      </c>
      <c r="K20" s="11"/>
      <c r="M20" s="8" t="s">
        <v>7</v>
      </c>
      <c r="N20" s="8" t="s">
        <v>124</v>
      </c>
      <c r="O20" s="8" t="s">
        <v>130</v>
      </c>
      <c r="P20" s="8" t="s">
        <v>131</v>
      </c>
      <c r="Q20" s="8" t="s">
        <v>132</v>
      </c>
    </row>
    <row r="21" spans="1:21" ht="15.75" thickBot="1" x14ac:dyDescent="0.3">
      <c r="A21" s="59"/>
      <c r="B21" s="7" t="s">
        <v>108</v>
      </c>
      <c r="C21" s="7">
        <v>90</v>
      </c>
      <c r="D21" s="21">
        <v>28.883888890000001</v>
      </c>
      <c r="E21" s="21">
        <v>2599.5500000000002</v>
      </c>
      <c r="F21" s="21">
        <v>38.19</v>
      </c>
      <c r="G21" s="21">
        <f t="shared" si="0"/>
        <v>3437.1</v>
      </c>
      <c r="H21" s="7">
        <v>837.55</v>
      </c>
      <c r="I21" s="7">
        <v>32.2190379104076</v>
      </c>
      <c r="J21" s="10">
        <v>19.352495000000001</v>
      </c>
      <c r="K21" s="11"/>
      <c r="M21" s="2" t="s">
        <v>122</v>
      </c>
      <c r="N21" s="4">
        <v>96.02</v>
      </c>
      <c r="O21" s="24">
        <v>0.1</v>
      </c>
      <c r="P21" s="25">
        <f>0.008/3</f>
        <v>2.6666666666666666E-3</v>
      </c>
      <c r="Q21">
        <v>20</v>
      </c>
    </row>
    <row r="22" spans="1:21" x14ac:dyDescent="0.25">
      <c r="A22" s="59"/>
      <c r="B22" s="7" t="s">
        <v>90</v>
      </c>
      <c r="C22" s="7">
        <v>15</v>
      </c>
      <c r="D22" s="21">
        <v>111.66666667</v>
      </c>
      <c r="E22" s="21">
        <v>1675</v>
      </c>
      <c r="F22" s="21">
        <v>202.66</v>
      </c>
      <c r="G22" s="21">
        <f t="shared" si="0"/>
        <v>3039.9</v>
      </c>
      <c r="H22" s="7">
        <v>1364.9</v>
      </c>
      <c r="I22" s="7">
        <v>81.486567164179107</v>
      </c>
      <c r="J22" s="10">
        <v>17.116071999999999</v>
      </c>
      <c r="K22" s="11"/>
      <c r="M22" s="26" t="s">
        <v>133</v>
      </c>
      <c r="N22" s="27">
        <f>P16</f>
        <v>2370.65</v>
      </c>
    </row>
    <row r="23" spans="1:21" ht="15.75" thickBot="1" x14ac:dyDescent="0.3">
      <c r="A23" s="59"/>
      <c r="B23" s="7" t="s">
        <v>113</v>
      </c>
      <c r="C23" s="7">
        <v>1</v>
      </c>
      <c r="D23" s="21">
        <v>544.95000000000005</v>
      </c>
      <c r="E23" s="21">
        <v>544.95000000000005</v>
      </c>
      <c r="F23" s="21">
        <v>1523.6</v>
      </c>
      <c r="G23" s="21">
        <f t="shared" si="0"/>
        <v>1523.6</v>
      </c>
      <c r="H23" s="7">
        <v>978.65</v>
      </c>
      <c r="I23" s="7">
        <v>179.585283053491</v>
      </c>
      <c r="J23" s="10">
        <v>49.449871000000002</v>
      </c>
      <c r="K23" s="11"/>
      <c r="M23" s="28" t="s">
        <v>134</v>
      </c>
      <c r="N23" s="29">
        <f>ROUNDDOWN(N22/N21,0)</f>
        <v>24</v>
      </c>
    </row>
    <row r="24" spans="1:21" x14ac:dyDescent="0.25">
      <c r="A24" s="59"/>
      <c r="B24" s="7" t="s">
        <v>102</v>
      </c>
      <c r="C24" s="7">
        <v>50</v>
      </c>
      <c r="D24" s="21">
        <v>2.7248000000000001</v>
      </c>
      <c r="E24" s="21">
        <v>136.24</v>
      </c>
      <c r="F24" s="21">
        <v>78.69</v>
      </c>
      <c r="G24" s="21">
        <f t="shared" si="0"/>
        <v>3934.5</v>
      </c>
      <c r="H24" s="7">
        <v>3798.26</v>
      </c>
      <c r="I24" s="7">
        <v>2787.9183793305901</v>
      </c>
      <c r="J24" s="10">
        <v>22.153092000000001</v>
      </c>
      <c r="K24" s="11"/>
    </row>
    <row r="25" spans="1:21" ht="18.75" x14ac:dyDescent="0.3">
      <c r="A25" s="59"/>
      <c r="M25" s="62" t="s">
        <v>138</v>
      </c>
      <c r="N25" s="62"/>
      <c r="O25" s="62"/>
      <c r="P25" s="62"/>
      <c r="Q25" s="62"/>
      <c r="R25" s="62"/>
      <c r="S25" s="62"/>
      <c r="T25" s="62"/>
      <c r="U25" s="62"/>
    </row>
    <row r="26" spans="1:21" x14ac:dyDescent="0.25">
      <c r="A26" s="59"/>
      <c r="M26" s="30" t="s">
        <v>135</v>
      </c>
      <c r="N26" s="30">
        <v>64.45</v>
      </c>
      <c r="P26" s="30" t="s">
        <v>137</v>
      </c>
      <c r="Q26" s="31">
        <f>_xlfn.RRI(12,N26,N27)</f>
        <v>3.5399124756538392E-2</v>
      </c>
    </row>
    <row r="27" spans="1:21" x14ac:dyDescent="0.25">
      <c r="A27" s="59"/>
      <c r="M27" s="30" t="s">
        <v>136</v>
      </c>
      <c r="N27" s="30">
        <v>97.84</v>
      </c>
      <c r="P27" s="30"/>
      <c r="Q27" s="30"/>
    </row>
    <row r="28" spans="1:21" ht="15.75" thickBot="1" x14ac:dyDescent="0.3">
      <c r="A28" s="59"/>
      <c r="M28" s="32" t="s">
        <v>139</v>
      </c>
      <c r="N28" s="32">
        <v>1</v>
      </c>
      <c r="O28" s="32">
        <v>2</v>
      </c>
      <c r="P28" s="32">
        <v>3</v>
      </c>
      <c r="Q28" s="32">
        <v>4</v>
      </c>
      <c r="R28" s="32">
        <v>5</v>
      </c>
      <c r="S28" s="32">
        <v>6</v>
      </c>
      <c r="T28" s="32">
        <v>7</v>
      </c>
      <c r="U28" s="32">
        <v>8</v>
      </c>
    </row>
    <row r="29" spans="1:21" x14ac:dyDescent="0.25">
      <c r="A29" s="59"/>
      <c r="M29" s="6" t="s">
        <v>140</v>
      </c>
      <c r="N29" s="35">
        <f>N21</f>
        <v>96.02</v>
      </c>
      <c r="O29" s="35">
        <f t="shared" ref="O29:U29" si="1">N29*(1+$O$21)</f>
        <v>105.622</v>
      </c>
      <c r="P29" s="35">
        <f t="shared" si="1"/>
        <v>116.1842</v>
      </c>
      <c r="Q29" s="35">
        <f t="shared" si="1"/>
        <v>127.80262000000002</v>
      </c>
      <c r="R29" s="35">
        <f t="shared" si="1"/>
        <v>140.58288200000004</v>
      </c>
      <c r="S29" s="35">
        <f t="shared" si="1"/>
        <v>154.64117020000006</v>
      </c>
      <c r="T29" s="35">
        <f t="shared" si="1"/>
        <v>170.10528722000009</v>
      </c>
      <c r="U29" s="35">
        <f t="shared" si="1"/>
        <v>187.11581594200013</v>
      </c>
    </row>
    <row r="30" spans="1:21" x14ac:dyDescent="0.25">
      <c r="A30" s="59"/>
      <c r="M30" s="20" t="s">
        <v>141</v>
      </c>
      <c r="N30" s="36">
        <f t="shared" ref="N30:U30" si="2">N29*$N$23</f>
        <v>2304.48</v>
      </c>
      <c r="O30" s="36">
        <f t="shared" si="2"/>
        <v>2534.9279999999999</v>
      </c>
      <c r="P30" s="36">
        <f t="shared" si="2"/>
        <v>2788.4207999999999</v>
      </c>
      <c r="Q30" s="36">
        <f t="shared" si="2"/>
        <v>3067.2628800000002</v>
      </c>
      <c r="R30" s="36">
        <f t="shared" si="2"/>
        <v>3373.989168000001</v>
      </c>
      <c r="S30" s="36">
        <f t="shared" si="2"/>
        <v>3711.3880848000017</v>
      </c>
      <c r="T30" s="36">
        <f t="shared" si="2"/>
        <v>4082.5268932800022</v>
      </c>
      <c r="U30" s="36">
        <f t="shared" si="2"/>
        <v>4490.7795826080028</v>
      </c>
    </row>
    <row r="31" spans="1:21" ht="15.75" thickBot="1" x14ac:dyDescent="0.3">
      <c r="A31" s="59"/>
      <c r="M31" s="33" t="s">
        <v>142</v>
      </c>
      <c r="N31" s="34">
        <f>(N22-N30)+O16</f>
        <v>-1140.7800008500001</v>
      </c>
      <c r="O31" s="34">
        <f t="shared" ref="O31:U31" si="3">(O$30-$N$30)+$O$16</f>
        <v>-976.50200085000029</v>
      </c>
      <c r="P31" s="34">
        <f t="shared" si="3"/>
        <v>-723.0092008500003</v>
      </c>
      <c r="Q31" s="34">
        <f t="shared" si="3"/>
        <v>-444.16712084999995</v>
      </c>
      <c r="R31" s="34">
        <f t="shared" si="3"/>
        <v>-137.4408328499992</v>
      </c>
      <c r="S31" s="34">
        <f t="shared" si="3"/>
        <v>199.95808395000154</v>
      </c>
      <c r="T31" s="34">
        <f t="shared" si="3"/>
        <v>571.09689243000207</v>
      </c>
      <c r="U31" s="34">
        <f t="shared" si="3"/>
        <v>979.34958175800261</v>
      </c>
    </row>
    <row r="32" spans="1:21" ht="15.75" thickTop="1" x14ac:dyDescent="0.25">
      <c r="A32" s="59"/>
    </row>
    <row r="33" spans="1:21" x14ac:dyDescent="0.25">
      <c r="A33" s="59"/>
    </row>
    <row r="34" spans="1:21" ht="15.75" thickBot="1" x14ac:dyDescent="0.3">
      <c r="A34" s="60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</row>
    <row r="35" spans="1:21" x14ac:dyDescent="0.25">
      <c r="A35" s="58" t="s">
        <v>936</v>
      </c>
      <c r="C35" s="56" t="s">
        <v>7</v>
      </c>
      <c r="D35" s="56" t="s">
        <v>147</v>
      </c>
      <c r="E35" s="56" t="s">
        <v>972</v>
      </c>
      <c r="F35" s="5" t="s">
        <v>973</v>
      </c>
    </row>
    <row r="36" spans="1:21" ht="15.75" x14ac:dyDescent="0.25">
      <c r="A36" s="59"/>
      <c r="B36" s="55"/>
      <c r="C36" s="53" t="s">
        <v>929</v>
      </c>
      <c r="D36" s="53" t="s">
        <v>937</v>
      </c>
      <c r="E36" s="54">
        <v>47.05</v>
      </c>
      <c r="F36" s="2" t="e">
        <f>_xlfn.NUMBERVALUE(_xlfn.WEBSERVICE("https://download.finance.yahoo.com/d/quotes.csv?s=MSFT&amp;f=l1"))</f>
        <v>#VALUE!</v>
      </c>
    </row>
    <row r="37" spans="1:21" ht="15.75" x14ac:dyDescent="0.25">
      <c r="A37" s="59"/>
      <c r="B37" s="55"/>
      <c r="C37" s="53" t="s">
        <v>938</v>
      </c>
      <c r="D37" s="53" t="s">
        <v>939</v>
      </c>
      <c r="E37" s="54">
        <v>35.799999999999997</v>
      </c>
    </row>
    <row r="38" spans="1:21" ht="15.75" x14ac:dyDescent="0.25">
      <c r="A38" s="59"/>
      <c r="B38" s="55"/>
      <c r="C38" s="53" t="s">
        <v>940</v>
      </c>
      <c r="D38" s="53" t="s">
        <v>941</v>
      </c>
      <c r="E38" s="54">
        <v>34.82</v>
      </c>
    </row>
    <row r="39" spans="1:21" ht="15.75" x14ac:dyDescent="0.25">
      <c r="A39" s="59"/>
      <c r="B39" s="55"/>
      <c r="C39" s="53" t="s">
        <v>942</v>
      </c>
      <c r="D39" s="53" t="s">
        <v>943</v>
      </c>
      <c r="E39" s="54">
        <v>15.8</v>
      </c>
    </row>
    <row r="40" spans="1:21" ht="15.75" x14ac:dyDescent="0.25">
      <c r="A40" s="59"/>
      <c r="B40" s="55"/>
      <c r="C40" s="53" t="s">
        <v>944</v>
      </c>
      <c r="D40" s="53" t="s">
        <v>945</v>
      </c>
      <c r="E40" s="54">
        <v>109.35</v>
      </c>
    </row>
    <row r="41" spans="1:21" ht="15.75" x14ac:dyDescent="0.25">
      <c r="A41" s="59"/>
      <c r="B41" s="55"/>
      <c r="C41" s="53" t="s">
        <v>946</v>
      </c>
      <c r="D41" s="53" t="s">
        <v>947</v>
      </c>
      <c r="E41" s="54">
        <v>5.03</v>
      </c>
    </row>
    <row r="42" spans="1:21" ht="15.75" x14ac:dyDescent="0.25">
      <c r="A42" s="59"/>
      <c r="B42" s="55"/>
      <c r="C42" s="53" t="s">
        <v>948</v>
      </c>
      <c r="D42" s="53" t="s">
        <v>949</v>
      </c>
      <c r="E42" s="54">
        <v>28</v>
      </c>
    </row>
    <row r="43" spans="1:21" ht="15.75" x14ac:dyDescent="0.25">
      <c r="A43" s="59"/>
      <c r="B43" s="55"/>
      <c r="C43" s="53" t="s">
        <v>950</v>
      </c>
      <c r="D43" s="53" t="s">
        <v>951</v>
      </c>
      <c r="E43" s="54">
        <v>12.64</v>
      </c>
    </row>
    <row r="44" spans="1:21" ht="15.75" x14ac:dyDescent="0.25">
      <c r="A44" s="59"/>
      <c r="B44" s="55"/>
      <c r="C44" s="53" t="s">
        <v>952</v>
      </c>
      <c r="D44" s="53" t="s">
        <v>953</v>
      </c>
      <c r="E44" s="54">
        <v>14.56</v>
      </c>
    </row>
    <row r="45" spans="1:21" ht="15.75" x14ac:dyDescent="0.25">
      <c r="A45" s="59"/>
      <c r="B45" s="55"/>
      <c r="C45" s="53" t="s">
        <v>954</v>
      </c>
      <c r="D45" s="53" t="s">
        <v>955</v>
      </c>
      <c r="E45" s="54">
        <v>6.76</v>
      </c>
    </row>
    <row r="46" spans="1:21" ht="15.75" x14ac:dyDescent="0.25">
      <c r="A46" s="59"/>
      <c r="B46" s="55"/>
      <c r="C46" s="53" t="s">
        <v>956</v>
      </c>
      <c r="D46" s="53" t="s">
        <v>957</v>
      </c>
      <c r="E46" s="54">
        <v>9.6199999999999992</v>
      </c>
    </row>
    <row r="47" spans="1:21" ht="15.75" x14ac:dyDescent="0.25">
      <c r="A47" s="59"/>
      <c r="B47" s="55"/>
      <c r="C47" s="53" t="s">
        <v>958</v>
      </c>
      <c r="D47" s="53" t="s">
        <v>959</v>
      </c>
      <c r="E47" s="54">
        <v>5.35</v>
      </c>
    </row>
    <row r="48" spans="1:21" ht="15.75" x14ac:dyDescent="0.25">
      <c r="A48" s="59"/>
      <c r="B48" s="55"/>
      <c r="C48" s="53" t="s">
        <v>960</v>
      </c>
      <c r="D48" s="53" t="s">
        <v>961</v>
      </c>
      <c r="E48" s="54">
        <v>14.69</v>
      </c>
    </row>
    <row r="49" spans="1:5" ht="15.75" x14ac:dyDescent="0.25">
      <c r="A49" s="59"/>
      <c r="B49" s="55"/>
      <c r="C49" s="53" t="s">
        <v>962</v>
      </c>
      <c r="D49" s="53" t="s">
        <v>963</v>
      </c>
      <c r="E49" s="54">
        <v>5.5</v>
      </c>
    </row>
    <row r="50" spans="1:5" ht="15.75" x14ac:dyDescent="0.25">
      <c r="A50" s="59"/>
      <c r="B50" s="55"/>
      <c r="C50" s="53" t="s">
        <v>964</v>
      </c>
      <c r="D50" s="53" t="s">
        <v>965</v>
      </c>
      <c r="E50" s="54">
        <v>12.06</v>
      </c>
    </row>
    <row r="51" spans="1:5" ht="15.75" x14ac:dyDescent="0.25">
      <c r="A51" s="59"/>
      <c r="B51" s="55"/>
      <c r="C51" s="53" t="s">
        <v>966</v>
      </c>
      <c r="D51" s="53" t="s">
        <v>967</v>
      </c>
      <c r="E51" s="54">
        <v>10.99</v>
      </c>
    </row>
    <row r="52" spans="1:5" ht="15.75" x14ac:dyDescent="0.25">
      <c r="A52" s="59"/>
      <c r="B52" s="55"/>
      <c r="C52" s="53" t="s">
        <v>968</v>
      </c>
      <c r="D52" s="53" t="s">
        <v>969</v>
      </c>
      <c r="E52" s="54">
        <v>10.41</v>
      </c>
    </row>
    <row r="53" spans="1:5" ht="15.75" x14ac:dyDescent="0.25">
      <c r="A53" s="59"/>
      <c r="B53" s="55"/>
      <c r="C53" s="53" t="s">
        <v>970</v>
      </c>
      <c r="D53" s="53" t="s">
        <v>971</v>
      </c>
      <c r="E53" s="54">
        <v>3.52</v>
      </c>
    </row>
  </sheetData>
  <mergeCells count="7">
    <mergeCell ref="A35:A53"/>
    <mergeCell ref="A6:A34"/>
    <mergeCell ref="B2:D2"/>
    <mergeCell ref="M25:U25"/>
    <mergeCell ref="B8:J8"/>
    <mergeCell ref="M8:P8"/>
    <mergeCell ref="M19:Q19"/>
  </mergeCells>
  <conditionalFormatting sqref="I10:I24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572"/>
  <sheetViews>
    <sheetView topLeftCell="A503" workbookViewId="0">
      <selection activeCell="A503" sqref="A503"/>
    </sheetView>
  </sheetViews>
  <sheetFormatPr defaultRowHeight="15" x14ac:dyDescent="0.25"/>
  <cols>
    <col min="1" max="1" width="21.85546875" style="13" bestFit="1" customWidth="1"/>
    <col min="2" max="2" width="27.28515625" style="13" bestFit="1" customWidth="1"/>
    <col min="3" max="3" width="9" style="13" bestFit="1" customWidth="1"/>
    <col min="4" max="4" width="9.85546875" style="13" bestFit="1" customWidth="1"/>
    <col min="5" max="5" width="31" style="13" customWidth="1"/>
    <col min="6" max="6" width="12.28515625" style="13" bestFit="1" customWidth="1"/>
    <col min="7" max="7" width="11.5703125" style="13" customWidth="1"/>
    <col min="8" max="8" width="16" style="13" bestFit="1" customWidth="1"/>
    <col min="9" max="10" width="14.140625" style="13" bestFit="1" customWidth="1"/>
    <col min="11" max="11" width="11.140625" style="13" bestFit="1" customWidth="1"/>
    <col min="12" max="12" width="11.85546875" style="13" bestFit="1" customWidth="1"/>
    <col min="13" max="13" width="16.7109375" style="13" bestFit="1" customWidth="1"/>
    <col min="14" max="14" width="16.5703125" style="13" bestFit="1" customWidth="1"/>
    <col min="15" max="15" width="13.28515625" style="13" bestFit="1" customWidth="1"/>
    <col min="16" max="16384" width="9.140625" style="13"/>
  </cols>
  <sheetData>
    <row r="1" spans="1:16" ht="15.75" thickBot="1" x14ac:dyDescent="0.3">
      <c r="A1" s="47" t="s">
        <v>145</v>
      </c>
      <c r="B1" s="47" t="s">
        <v>146</v>
      </c>
      <c r="C1" s="47" t="s">
        <v>120</v>
      </c>
      <c r="D1" s="47" t="s">
        <v>7</v>
      </c>
      <c r="E1" s="47" t="s">
        <v>147</v>
      </c>
      <c r="F1" s="47" t="s">
        <v>94</v>
      </c>
      <c r="G1" s="47" t="s">
        <v>89</v>
      </c>
      <c r="H1" s="47" t="s">
        <v>148</v>
      </c>
      <c r="I1" s="47" t="s">
        <v>85</v>
      </c>
      <c r="J1" s="47" t="s">
        <v>149</v>
      </c>
      <c r="K1" s="47" t="s">
        <v>93</v>
      </c>
      <c r="L1" s="47" t="s">
        <v>150</v>
      </c>
      <c r="M1" s="47" t="s">
        <v>151</v>
      </c>
      <c r="N1" s="47" t="s">
        <v>116</v>
      </c>
      <c r="O1" s="10"/>
      <c r="P1" s="11"/>
    </row>
    <row r="2" spans="1:16" x14ac:dyDescent="0.25">
      <c r="A2" s="7" t="s">
        <v>152</v>
      </c>
      <c r="B2" s="7" t="s">
        <v>152</v>
      </c>
      <c r="C2" s="7" t="s">
        <v>153</v>
      </c>
      <c r="D2" s="7" t="s">
        <v>153</v>
      </c>
      <c r="E2" s="7" t="s">
        <v>154</v>
      </c>
      <c r="F2" s="48">
        <v>0</v>
      </c>
      <c r="G2" s="48">
        <v>0</v>
      </c>
      <c r="H2" s="48">
        <v>0</v>
      </c>
      <c r="I2" s="48">
        <v>0</v>
      </c>
      <c r="J2" s="48">
        <v>-5.0999999999999996</v>
      </c>
      <c r="K2" s="7" t="s">
        <v>104</v>
      </c>
      <c r="L2" s="7" t="s">
        <v>155</v>
      </c>
      <c r="M2" s="7" t="s">
        <v>156</v>
      </c>
      <c r="N2" s="7" t="s">
        <v>157</v>
      </c>
    </row>
    <row r="3" spans="1:16" x14ac:dyDescent="0.25">
      <c r="A3" s="7" t="s">
        <v>158</v>
      </c>
      <c r="B3" s="7" t="s">
        <v>158</v>
      </c>
      <c r="C3" s="7" t="s">
        <v>153</v>
      </c>
      <c r="D3" s="7" t="s">
        <v>153</v>
      </c>
      <c r="E3" s="7" t="s">
        <v>159</v>
      </c>
      <c r="F3" s="48">
        <v>0</v>
      </c>
      <c r="G3" s="48">
        <v>0</v>
      </c>
      <c r="H3" s="48">
        <v>0</v>
      </c>
      <c r="I3" s="48">
        <v>0</v>
      </c>
      <c r="J3" s="48">
        <v>-4.92</v>
      </c>
      <c r="K3" s="7" t="s">
        <v>104</v>
      </c>
      <c r="L3" s="7" t="s">
        <v>155</v>
      </c>
      <c r="M3" s="7" t="s">
        <v>156</v>
      </c>
      <c r="N3" s="7" t="s">
        <v>157</v>
      </c>
    </row>
    <row r="4" spans="1:16" x14ac:dyDescent="0.25">
      <c r="A4" s="7" t="s">
        <v>160</v>
      </c>
      <c r="B4" s="7" t="s">
        <v>160</v>
      </c>
      <c r="C4" s="7" t="s">
        <v>153</v>
      </c>
      <c r="D4" s="7" t="s">
        <v>153</v>
      </c>
      <c r="E4" s="7" t="s">
        <v>161</v>
      </c>
      <c r="F4" s="48">
        <v>0</v>
      </c>
      <c r="G4" s="48">
        <v>0</v>
      </c>
      <c r="H4" s="48">
        <v>0</v>
      </c>
      <c r="I4" s="48">
        <v>0</v>
      </c>
      <c r="J4" s="48">
        <v>-2.91</v>
      </c>
      <c r="K4" s="7" t="s">
        <v>104</v>
      </c>
      <c r="L4" s="7" t="s">
        <v>155</v>
      </c>
      <c r="M4" s="7" t="s">
        <v>156</v>
      </c>
      <c r="N4" s="7" t="s">
        <v>157</v>
      </c>
    </row>
    <row r="5" spans="1:16" x14ac:dyDescent="0.25">
      <c r="A5" s="7" t="s">
        <v>162</v>
      </c>
      <c r="B5" s="7" t="s">
        <v>162</v>
      </c>
      <c r="C5" s="7" t="s">
        <v>163</v>
      </c>
      <c r="D5" s="7" t="s">
        <v>164</v>
      </c>
      <c r="E5" s="7" t="s">
        <v>165</v>
      </c>
      <c r="F5" s="48">
        <v>0</v>
      </c>
      <c r="G5" s="48">
        <v>0</v>
      </c>
      <c r="H5" s="48">
        <v>0</v>
      </c>
      <c r="I5" s="48">
        <v>0</v>
      </c>
      <c r="J5" s="48">
        <v>1.92</v>
      </c>
      <c r="K5" s="7" t="s">
        <v>104</v>
      </c>
      <c r="L5" s="7" t="s">
        <v>103</v>
      </c>
      <c r="M5" s="7" t="s">
        <v>166</v>
      </c>
      <c r="N5" s="7" t="s">
        <v>117</v>
      </c>
    </row>
    <row r="6" spans="1:16" x14ac:dyDescent="0.25">
      <c r="A6" s="7" t="s">
        <v>167</v>
      </c>
      <c r="B6" s="7" t="s">
        <v>167</v>
      </c>
      <c r="C6" s="7" t="s">
        <v>163</v>
      </c>
      <c r="D6" s="7" t="s">
        <v>164</v>
      </c>
      <c r="E6" s="7" t="s">
        <v>168</v>
      </c>
      <c r="F6" s="48">
        <v>0</v>
      </c>
      <c r="G6" s="48">
        <v>0</v>
      </c>
      <c r="H6" s="48">
        <v>0</v>
      </c>
      <c r="I6" s="48">
        <v>0</v>
      </c>
      <c r="J6" s="48">
        <v>1.96</v>
      </c>
      <c r="K6" s="7" t="s">
        <v>104</v>
      </c>
      <c r="L6" s="7" t="s">
        <v>103</v>
      </c>
      <c r="M6" s="7" t="s">
        <v>166</v>
      </c>
      <c r="N6" s="7" t="s">
        <v>117</v>
      </c>
    </row>
    <row r="7" spans="1:16" x14ac:dyDescent="0.25">
      <c r="A7" s="7" t="s">
        <v>169</v>
      </c>
      <c r="B7" s="7" t="s">
        <v>169</v>
      </c>
      <c r="C7" s="7" t="s">
        <v>163</v>
      </c>
      <c r="D7" s="7" t="s">
        <v>170</v>
      </c>
      <c r="E7" s="7" t="s">
        <v>171</v>
      </c>
      <c r="F7" s="48">
        <v>0</v>
      </c>
      <c r="G7" s="48">
        <v>0</v>
      </c>
      <c r="H7" s="48">
        <v>0</v>
      </c>
      <c r="I7" s="48">
        <v>0</v>
      </c>
      <c r="J7" s="48">
        <v>12.92</v>
      </c>
      <c r="K7" s="7" t="s">
        <v>104</v>
      </c>
      <c r="L7" s="7" t="s">
        <v>103</v>
      </c>
      <c r="M7" s="7" t="s">
        <v>166</v>
      </c>
      <c r="N7" s="7" t="s">
        <v>117</v>
      </c>
    </row>
    <row r="8" spans="1:16" x14ac:dyDescent="0.25">
      <c r="A8" s="7" t="s">
        <v>172</v>
      </c>
      <c r="B8" s="7" t="s">
        <v>172</v>
      </c>
      <c r="C8" s="7" t="s">
        <v>163</v>
      </c>
      <c r="D8" s="7" t="s">
        <v>173</v>
      </c>
      <c r="E8" s="7" t="s">
        <v>174</v>
      </c>
      <c r="F8" s="48">
        <v>0</v>
      </c>
      <c r="G8" s="48">
        <v>0</v>
      </c>
      <c r="H8" s="48">
        <v>0</v>
      </c>
      <c r="I8" s="48">
        <v>0</v>
      </c>
      <c r="J8" s="48">
        <v>0.4</v>
      </c>
      <c r="K8" s="7" t="s">
        <v>104</v>
      </c>
      <c r="L8" s="7" t="s">
        <v>103</v>
      </c>
      <c r="M8" s="7" t="s">
        <v>166</v>
      </c>
      <c r="N8" s="7" t="s">
        <v>117</v>
      </c>
    </row>
    <row r="9" spans="1:16" x14ac:dyDescent="0.25">
      <c r="A9" s="7" t="s">
        <v>175</v>
      </c>
      <c r="B9" s="7" t="s">
        <v>175</v>
      </c>
      <c r="C9" s="7" t="s">
        <v>163</v>
      </c>
      <c r="D9" s="7" t="s">
        <v>176</v>
      </c>
      <c r="E9" s="7" t="s">
        <v>177</v>
      </c>
      <c r="F9" s="48">
        <v>0</v>
      </c>
      <c r="G9" s="48">
        <v>0</v>
      </c>
      <c r="H9" s="48">
        <v>0</v>
      </c>
      <c r="I9" s="48">
        <v>0</v>
      </c>
      <c r="J9" s="48">
        <v>6.51</v>
      </c>
      <c r="K9" s="7" t="s">
        <v>104</v>
      </c>
      <c r="L9" s="7" t="s">
        <v>103</v>
      </c>
      <c r="M9" s="7" t="s">
        <v>166</v>
      </c>
      <c r="N9" s="7" t="s">
        <v>117</v>
      </c>
    </row>
    <row r="10" spans="1:16" x14ac:dyDescent="0.25">
      <c r="A10" s="7" t="s">
        <v>178</v>
      </c>
      <c r="B10" s="7" t="s">
        <v>178</v>
      </c>
      <c r="C10" s="7" t="s">
        <v>163</v>
      </c>
      <c r="D10" s="7" t="s">
        <v>179</v>
      </c>
      <c r="E10" s="7" t="s">
        <v>180</v>
      </c>
      <c r="F10" s="48">
        <v>0</v>
      </c>
      <c r="G10" s="48">
        <v>0</v>
      </c>
      <c r="H10" s="48">
        <v>0</v>
      </c>
      <c r="I10" s="48">
        <v>0</v>
      </c>
      <c r="J10" s="48">
        <v>1.5</v>
      </c>
      <c r="K10" s="7" t="s">
        <v>104</v>
      </c>
      <c r="L10" s="7" t="s">
        <v>112</v>
      </c>
      <c r="M10" s="7" t="s">
        <v>166</v>
      </c>
      <c r="N10" s="7" t="s">
        <v>118</v>
      </c>
    </row>
    <row r="11" spans="1:16" x14ac:dyDescent="0.25">
      <c r="A11" s="7" t="s">
        <v>181</v>
      </c>
      <c r="B11" s="7" t="s">
        <v>181</v>
      </c>
      <c r="C11" s="7" t="s">
        <v>163</v>
      </c>
      <c r="D11" s="7" t="s">
        <v>179</v>
      </c>
      <c r="E11" s="7" t="s">
        <v>182</v>
      </c>
      <c r="F11" s="48">
        <v>0</v>
      </c>
      <c r="G11" s="48">
        <v>0</v>
      </c>
      <c r="H11" s="48">
        <v>0</v>
      </c>
      <c r="I11" s="48">
        <v>0</v>
      </c>
      <c r="J11" s="48">
        <v>1.5</v>
      </c>
      <c r="K11" s="7" t="s">
        <v>104</v>
      </c>
      <c r="L11" s="7" t="s">
        <v>112</v>
      </c>
      <c r="M11" s="7" t="s">
        <v>166</v>
      </c>
      <c r="N11" s="7" t="s">
        <v>118</v>
      </c>
    </row>
    <row r="12" spans="1:16" x14ac:dyDescent="0.25">
      <c r="A12" s="7" t="s">
        <v>183</v>
      </c>
      <c r="B12" s="7" t="s">
        <v>183</v>
      </c>
      <c r="C12" s="7" t="s">
        <v>163</v>
      </c>
      <c r="D12" s="7" t="s">
        <v>179</v>
      </c>
      <c r="E12" s="7" t="s">
        <v>184</v>
      </c>
      <c r="F12" s="48">
        <v>0</v>
      </c>
      <c r="G12" s="48">
        <v>0</v>
      </c>
      <c r="H12" s="48">
        <v>0</v>
      </c>
      <c r="I12" s="48">
        <v>0</v>
      </c>
      <c r="J12" s="48">
        <v>1.5</v>
      </c>
      <c r="K12" s="7" t="s">
        <v>104</v>
      </c>
      <c r="L12" s="7" t="s">
        <v>112</v>
      </c>
      <c r="M12" s="7" t="s">
        <v>166</v>
      </c>
      <c r="N12" s="7" t="s">
        <v>118</v>
      </c>
    </row>
    <row r="13" spans="1:16" x14ac:dyDescent="0.25">
      <c r="A13" s="7" t="s">
        <v>185</v>
      </c>
      <c r="B13" s="7" t="s">
        <v>185</v>
      </c>
      <c r="C13" s="7" t="s">
        <v>163</v>
      </c>
      <c r="D13" s="7" t="s">
        <v>179</v>
      </c>
      <c r="E13" s="7" t="s">
        <v>186</v>
      </c>
      <c r="F13" s="48">
        <v>0</v>
      </c>
      <c r="G13" s="48">
        <v>0</v>
      </c>
      <c r="H13" s="48">
        <v>0</v>
      </c>
      <c r="I13" s="48">
        <v>0</v>
      </c>
      <c r="J13" s="48">
        <v>1.5</v>
      </c>
      <c r="K13" s="7" t="s">
        <v>104</v>
      </c>
      <c r="L13" s="7" t="s">
        <v>112</v>
      </c>
      <c r="M13" s="7" t="s">
        <v>166</v>
      </c>
      <c r="N13" s="7" t="s">
        <v>118</v>
      </c>
    </row>
    <row r="14" spans="1:16" x14ac:dyDescent="0.25">
      <c r="A14" s="7" t="s">
        <v>187</v>
      </c>
      <c r="B14" s="7" t="s">
        <v>187</v>
      </c>
      <c r="C14" s="7" t="s">
        <v>163</v>
      </c>
      <c r="D14" s="7" t="s">
        <v>179</v>
      </c>
      <c r="E14" s="7" t="s">
        <v>188</v>
      </c>
      <c r="F14" s="48">
        <v>0</v>
      </c>
      <c r="G14" s="48">
        <v>0</v>
      </c>
      <c r="H14" s="48">
        <v>0</v>
      </c>
      <c r="I14" s="48">
        <v>0</v>
      </c>
      <c r="J14" s="48">
        <v>1.5</v>
      </c>
      <c r="K14" s="7" t="s">
        <v>104</v>
      </c>
      <c r="L14" s="7" t="s">
        <v>112</v>
      </c>
      <c r="M14" s="7" t="s">
        <v>166</v>
      </c>
      <c r="N14" s="7" t="s">
        <v>118</v>
      </c>
    </row>
    <row r="15" spans="1:16" x14ac:dyDescent="0.25">
      <c r="A15" s="7" t="s">
        <v>189</v>
      </c>
      <c r="B15" s="7" t="s">
        <v>189</v>
      </c>
      <c r="C15" s="7" t="s">
        <v>163</v>
      </c>
      <c r="D15" s="7" t="s">
        <v>179</v>
      </c>
      <c r="E15" s="7" t="s">
        <v>190</v>
      </c>
      <c r="F15" s="48">
        <v>0</v>
      </c>
      <c r="G15" s="48">
        <v>0</v>
      </c>
      <c r="H15" s="48">
        <v>0</v>
      </c>
      <c r="I15" s="48">
        <v>0</v>
      </c>
      <c r="J15" s="48">
        <v>1.5</v>
      </c>
      <c r="K15" s="7" t="s">
        <v>104</v>
      </c>
      <c r="L15" s="7" t="s">
        <v>112</v>
      </c>
      <c r="M15" s="7" t="s">
        <v>166</v>
      </c>
      <c r="N15" s="7" t="s">
        <v>118</v>
      </c>
    </row>
    <row r="16" spans="1:16" x14ac:dyDescent="0.25">
      <c r="A16" s="7" t="s">
        <v>191</v>
      </c>
      <c r="B16" s="7" t="s">
        <v>191</v>
      </c>
      <c r="C16" s="7" t="s">
        <v>163</v>
      </c>
      <c r="D16" s="7" t="s">
        <v>179</v>
      </c>
      <c r="E16" s="7" t="s">
        <v>192</v>
      </c>
      <c r="F16" s="48">
        <v>0</v>
      </c>
      <c r="G16" s="48">
        <v>0</v>
      </c>
      <c r="H16" s="48">
        <v>0</v>
      </c>
      <c r="I16" s="48">
        <v>0</v>
      </c>
      <c r="J16" s="48">
        <v>0.5</v>
      </c>
      <c r="K16" s="7" t="s">
        <v>104</v>
      </c>
      <c r="L16" s="7" t="s">
        <v>112</v>
      </c>
      <c r="M16" s="7" t="s">
        <v>166</v>
      </c>
      <c r="N16" s="7" t="s">
        <v>118</v>
      </c>
    </row>
    <row r="17" spans="1:14" x14ac:dyDescent="0.25">
      <c r="A17" s="7" t="s">
        <v>193</v>
      </c>
      <c r="B17" s="7" t="s">
        <v>193</v>
      </c>
      <c r="C17" s="7" t="s">
        <v>163</v>
      </c>
      <c r="D17" s="7" t="s">
        <v>179</v>
      </c>
      <c r="E17" s="7" t="s">
        <v>194</v>
      </c>
      <c r="F17" s="48">
        <v>0</v>
      </c>
      <c r="G17" s="48">
        <v>0</v>
      </c>
      <c r="H17" s="48">
        <v>0</v>
      </c>
      <c r="I17" s="48">
        <v>0</v>
      </c>
      <c r="J17" s="48">
        <v>6</v>
      </c>
      <c r="K17" s="7" t="s">
        <v>104</v>
      </c>
      <c r="L17" s="7" t="s">
        <v>112</v>
      </c>
      <c r="M17" s="7" t="s">
        <v>166</v>
      </c>
      <c r="N17" s="7" t="s">
        <v>118</v>
      </c>
    </row>
    <row r="18" spans="1:14" x14ac:dyDescent="0.25">
      <c r="A18" s="7" t="s">
        <v>195</v>
      </c>
      <c r="B18" s="7" t="s">
        <v>195</v>
      </c>
      <c r="C18" s="7" t="s">
        <v>163</v>
      </c>
      <c r="D18" s="7" t="s">
        <v>179</v>
      </c>
      <c r="E18" s="7" t="s">
        <v>196</v>
      </c>
      <c r="F18" s="48">
        <v>0</v>
      </c>
      <c r="G18" s="48">
        <v>0</v>
      </c>
      <c r="H18" s="48">
        <v>0</v>
      </c>
      <c r="I18" s="48">
        <v>0</v>
      </c>
      <c r="J18" s="48">
        <v>6</v>
      </c>
      <c r="K18" s="7" t="s">
        <v>104</v>
      </c>
      <c r="L18" s="7" t="s">
        <v>112</v>
      </c>
      <c r="M18" s="7" t="s">
        <v>166</v>
      </c>
      <c r="N18" s="7" t="s">
        <v>118</v>
      </c>
    </row>
    <row r="19" spans="1:14" x14ac:dyDescent="0.25">
      <c r="A19" s="7" t="s">
        <v>197</v>
      </c>
      <c r="B19" s="7" t="s">
        <v>197</v>
      </c>
      <c r="C19" s="7" t="s">
        <v>163</v>
      </c>
      <c r="D19" s="7" t="s">
        <v>179</v>
      </c>
      <c r="E19" s="7" t="s">
        <v>198</v>
      </c>
      <c r="F19" s="48">
        <v>0</v>
      </c>
      <c r="G19" s="48">
        <v>0</v>
      </c>
      <c r="H19" s="48">
        <v>0</v>
      </c>
      <c r="I19" s="48">
        <v>0</v>
      </c>
      <c r="J19" s="48">
        <v>6</v>
      </c>
      <c r="K19" s="7" t="s">
        <v>104</v>
      </c>
      <c r="L19" s="7" t="s">
        <v>112</v>
      </c>
      <c r="M19" s="7" t="s">
        <v>166</v>
      </c>
      <c r="N19" s="7" t="s">
        <v>118</v>
      </c>
    </row>
    <row r="20" spans="1:14" x14ac:dyDescent="0.25">
      <c r="A20" s="7" t="s">
        <v>199</v>
      </c>
      <c r="B20" s="7" t="s">
        <v>199</v>
      </c>
      <c r="C20" s="7" t="s">
        <v>163</v>
      </c>
      <c r="D20" s="7" t="s">
        <v>179</v>
      </c>
      <c r="E20" s="7" t="s">
        <v>200</v>
      </c>
      <c r="F20" s="48">
        <v>0</v>
      </c>
      <c r="G20" s="48">
        <v>0</v>
      </c>
      <c r="H20" s="48">
        <v>0</v>
      </c>
      <c r="I20" s="48">
        <v>0</v>
      </c>
      <c r="J20" s="48">
        <v>6</v>
      </c>
      <c r="K20" s="7" t="s">
        <v>104</v>
      </c>
      <c r="L20" s="7" t="s">
        <v>112</v>
      </c>
      <c r="M20" s="7" t="s">
        <v>166</v>
      </c>
      <c r="N20" s="7" t="s">
        <v>118</v>
      </c>
    </row>
    <row r="21" spans="1:14" x14ac:dyDescent="0.25">
      <c r="A21" s="7" t="s">
        <v>201</v>
      </c>
      <c r="B21" s="7" t="s">
        <v>201</v>
      </c>
      <c r="C21" s="7" t="s">
        <v>163</v>
      </c>
      <c r="D21" s="7" t="s">
        <v>179</v>
      </c>
      <c r="E21" s="7" t="s">
        <v>202</v>
      </c>
      <c r="F21" s="48">
        <v>0</v>
      </c>
      <c r="G21" s="48">
        <v>0</v>
      </c>
      <c r="H21" s="48">
        <v>0</v>
      </c>
      <c r="I21" s="48">
        <v>0</v>
      </c>
      <c r="J21" s="48">
        <v>12</v>
      </c>
      <c r="K21" s="7" t="s">
        <v>104</v>
      </c>
      <c r="L21" s="7" t="s">
        <v>112</v>
      </c>
      <c r="M21" s="7" t="s">
        <v>166</v>
      </c>
      <c r="N21" s="7" t="s">
        <v>118</v>
      </c>
    </row>
    <row r="22" spans="1:14" x14ac:dyDescent="0.25">
      <c r="A22" s="7" t="s">
        <v>203</v>
      </c>
      <c r="B22" s="7" t="s">
        <v>203</v>
      </c>
      <c r="C22" s="7" t="s">
        <v>163</v>
      </c>
      <c r="D22" s="7" t="s">
        <v>179</v>
      </c>
      <c r="E22" s="7" t="s">
        <v>204</v>
      </c>
      <c r="F22" s="48">
        <v>0</v>
      </c>
      <c r="G22" s="48">
        <v>0</v>
      </c>
      <c r="H22" s="48">
        <v>0</v>
      </c>
      <c r="I22" s="48">
        <v>0</v>
      </c>
      <c r="J22" s="48">
        <v>12</v>
      </c>
      <c r="K22" s="7" t="s">
        <v>104</v>
      </c>
      <c r="L22" s="7" t="s">
        <v>112</v>
      </c>
      <c r="M22" s="7" t="s">
        <v>166</v>
      </c>
      <c r="N22" s="7" t="s">
        <v>118</v>
      </c>
    </row>
    <row r="23" spans="1:14" x14ac:dyDescent="0.25">
      <c r="A23" s="7" t="s">
        <v>205</v>
      </c>
      <c r="B23" s="7" t="s">
        <v>205</v>
      </c>
      <c r="C23" s="7" t="s">
        <v>163</v>
      </c>
      <c r="D23" s="7" t="s">
        <v>179</v>
      </c>
      <c r="E23" s="7" t="s">
        <v>206</v>
      </c>
      <c r="F23" s="48">
        <v>0</v>
      </c>
      <c r="G23" s="48">
        <v>0</v>
      </c>
      <c r="H23" s="48">
        <v>0</v>
      </c>
      <c r="I23" s="48">
        <v>0</v>
      </c>
      <c r="J23" s="48">
        <v>12</v>
      </c>
      <c r="K23" s="7" t="s">
        <v>104</v>
      </c>
      <c r="L23" s="7" t="s">
        <v>112</v>
      </c>
      <c r="M23" s="7" t="s">
        <v>166</v>
      </c>
      <c r="N23" s="7" t="s">
        <v>118</v>
      </c>
    </row>
    <row r="24" spans="1:14" x14ac:dyDescent="0.25">
      <c r="A24" s="7" t="s">
        <v>207</v>
      </c>
      <c r="B24" s="7" t="s">
        <v>207</v>
      </c>
      <c r="C24" s="7" t="s">
        <v>163</v>
      </c>
      <c r="D24" s="7" t="s">
        <v>179</v>
      </c>
      <c r="E24" s="7" t="s">
        <v>208</v>
      </c>
      <c r="F24" s="48">
        <v>0</v>
      </c>
      <c r="G24" s="48">
        <v>0</v>
      </c>
      <c r="H24" s="48">
        <v>0</v>
      </c>
      <c r="I24" s="48">
        <v>0</v>
      </c>
      <c r="J24" s="48">
        <v>12</v>
      </c>
      <c r="K24" s="7" t="s">
        <v>104</v>
      </c>
      <c r="L24" s="7" t="s">
        <v>112</v>
      </c>
      <c r="M24" s="7" t="s">
        <v>166</v>
      </c>
      <c r="N24" s="7" t="s">
        <v>118</v>
      </c>
    </row>
    <row r="25" spans="1:14" x14ac:dyDescent="0.25">
      <c r="A25" s="7" t="s">
        <v>209</v>
      </c>
      <c r="B25" s="7" t="s">
        <v>209</v>
      </c>
      <c r="C25" s="7" t="s">
        <v>163</v>
      </c>
      <c r="D25" s="7" t="s">
        <v>179</v>
      </c>
      <c r="E25" s="7" t="s">
        <v>210</v>
      </c>
      <c r="F25" s="48">
        <v>0</v>
      </c>
      <c r="G25" s="48">
        <v>0</v>
      </c>
      <c r="H25" s="48">
        <v>0</v>
      </c>
      <c r="I25" s="48">
        <v>0</v>
      </c>
      <c r="J25" s="48">
        <v>11.5</v>
      </c>
      <c r="K25" s="7" t="s">
        <v>104</v>
      </c>
      <c r="L25" s="7" t="s">
        <v>112</v>
      </c>
      <c r="M25" s="7" t="s">
        <v>166</v>
      </c>
      <c r="N25" s="7" t="s">
        <v>118</v>
      </c>
    </row>
    <row r="26" spans="1:14" x14ac:dyDescent="0.25">
      <c r="A26" s="7" t="s">
        <v>211</v>
      </c>
      <c r="B26" s="7" t="s">
        <v>211</v>
      </c>
      <c r="C26" s="7" t="s">
        <v>163</v>
      </c>
      <c r="D26" s="7" t="s">
        <v>179</v>
      </c>
      <c r="E26" s="7" t="s">
        <v>212</v>
      </c>
      <c r="F26" s="48">
        <v>0</v>
      </c>
      <c r="G26" s="48">
        <v>0</v>
      </c>
      <c r="H26" s="48">
        <v>0</v>
      </c>
      <c r="I26" s="48">
        <v>0</v>
      </c>
      <c r="J26" s="48">
        <v>11.5</v>
      </c>
      <c r="K26" s="7" t="s">
        <v>104</v>
      </c>
      <c r="L26" s="7" t="s">
        <v>112</v>
      </c>
      <c r="M26" s="7" t="s">
        <v>166</v>
      </c>
      <c r="N26" s="7" t="s">
        <v>118</v>
      </c>
    </row>
    <row r="27" spans="1:14" x14ac:dyDescent="0.25">
      <c r="A27" s="7" t="s">
        <v>213</v>
      </c>
      <c r="B27" s="7" t="s">
        <v>213</v>
      </c>
      <c r="C27" s="7" t="s">
        <v>163</v>
      </c>
      <c r="D27" s="7" t="s">
        <v>179</v>
      </c>
      <c r="E27" s="7" t="s">
        <v>214</v>
      </c>
      <c r="F27" s="48">
        <v>0</v>
      </c>
      <c r="G27" s="48">
        <v>0</v>
      </c>
      <c r="H27" s="48">
        <v>0</v>
      </c>
      <c r="I27" s="48">
        <v>0</v>
      </c>
      <c r="J27" s="48">
        <v>11.5</v>
      </c>
      <c r="K27" s="7" t="s">
        <v>104</v>
      </c>
      <c r="L27" s="7" t="s">
        <v>112</v>
      </c>
      <c r="M27" s="7" t="s">
        <v>166</v>
      </c>
      <c r="N27" s="7" t="s">
        <v>118</v>
      </c>
    </row>
    <row r="28" spans="1:14" x14ac:dyDescent="0.25">
      <c r="A28" s="7" t="s">
        <v>215</v>
      </c>
      <c r="B28" s="7" t="s">
        <v>215</v>
      </c>
      <c r="C28" s="7" t="s">
        <v>163</v>
      </c>
      <c r="D28" s="7" t="s">
        <v>179</v>
      </c>
      <c r="E28" s="7" t="s">
        <v>216</v>
      </c>
      <c r="F28" s="48">
        <v>0</v>
      </c>
      <c r="G28" s="48">
        <v>0</v>
      </c>
      <c r="H28" s="48">
        <v>0</v>
      </c>
      <c r="I28" s="48">
        <v>0</v>
      </c>
      <c r="J28" s="48">
        <v>11.5</v>
      </c>
      <c r="K28" s="7" t="s">
        <v>104</v>
      </c>
      <c r="L28" s="7" t="s">
        <v>112</v>
      </c>
      <c r="M28" s="7" t="s">
        <v>166</v>
      </c>
      <c r="N28" s="7" t="s">
        <v>118</v>
      </c>
    </row>
    <row r="29" spans="1:14" x14ac:dyDescent="0.25">
      <c r="A29" s="7" t="s">
        <v>217</v>
      </c>
      <c r="B29" s="7" t="s">
        <v>217</v>
      </c>
      <c r="C29" s="7" t="s">
        <v>163</v>
      </c>
      <c r="D29" s="7" t="s">
        <v>179</v>
      </c>
      <c r="E29" s="7" t="s">
        <v>218</v>
      </c>
      <c r="F29" s="48">
        <v>0</v>
      </c>
      <c r="G29" s="48">
        <v>0</v>
      </c>
      <c r="H29" s="48">
        <v>0</v>
      </c>
      <c r="I29" s="48">
        <v>0</v>
      </c>
      <c r="J29" s="48">
        <v>11.5</v>
      </c>
      <c r="K29" s="7" t="s">
        <v>104</v>
      </c>
      <c r="L29" s="7" t="s">
        <v>112</v>
      </c>
      <c r="M29" s="7" t="s">
        <v>166</v>
      </c>
      <c r="N29" s="7" t="s">
        <v>118</v>
      </c>
    </row>
    <row r="30" spans="1:14" x14ac:dyDescent="0.25">
      <c r="A30" s="7" t="s">
        <v>219</v>
      </c>
      <c r="B30" s="7" t="s">
        <v>219</v>
      </c>
      <c r="C30" s="7" t="s">
        <v>163</v>
      </c>
      <c r="D30" s="7" t="s">
        <v>179</v>
      </c>
      <c r="E30" s="7" t="s">
        <v>220</v>
      </c>
      <c r="F30" s="48">
        <v>0</v>
      </c>
      <c r="G30" s="48">
        <v>0</v>
      </c>
      <c r="H30" s="48">
        <v>0</v>
      </c>
      <c r="I30" s="48">
        <v>0</v>
      </c>
      <c r="J30" s="48">
        <v>11.5</v>
      </c>
      <c r="K30" s="7" t="s">
        <v>104</v>
      </c>
      <c r="L30" s="7" t="s">
        <v>112</v>
      </c>
      <c r="M30" s="7" t="s">
        <v>166</v>
      </c>
      <c r="N30" s="7" t="s">
        <v>118</v>
      </c>
    </row>
    <row r="31" spans="1:14" x14ac:dyDescent="0.25">
      <c r="A31" s="7" t="s">
        <v>221</v>
      </c>
      <c r="B31" s="7" t="s">
        <v>221</v>
      </c>
      <c r="C31" s="7" t="s">
        <v>163</v>
      </c>
      <c r="D31" s="7" t="s">
        <v>179</v>
      </c>
      <c r="E31" s="7" t="s">
        <v>222</v>
      </c>
      <c r="F31" s="48">
        <v>0</v>
      </c>
      <c r="G31" s="48">
        <v>0</v>
      </c>
      <c r="H31" s="48">
        <v>0</v>
      </c>
      <c r="I31" s="48">
        <v>0</v>
      </c>
      <c r="J31" s="48">
        <v>6.9</v>
      </c>
      <c r="K31" s="7" t="s">
        <v>104</v>
      </c>
      <c r="L31" s="7" t="s">
        <v>112</v>
      </c>
      <c r="M31" s="7" t="s">
        <v>166</v>
      </c>
      <c r="N31" s="7" t="s">
        <v>118</v>
      </c>
    </row>
    <row r="32" spans="1:14" x14ac:dyDescent="0.25">
      <c r="A32" s="7" t="s">
        <v>223</v>
      </c>
      <c r="B32" s="7" t="s">
        <v>223</v>
      </c>
      <c r="C32" s="7" t="s">
        <v>163</v>
      </c>
      <c r="D32" s="7" t="s">
        <v>179</v>
      </c>
      <c r="E32" s="7" t="s">
        <v>224</v>
      </c>
      <c r="F32" s="48">
        <v>0</v>
      </c>
      <c r="G32" s="48">
        <v>0</v>
      </c>
      <c r="H32" s="48">
        <v>0</v>
      </c>
      <c r="I32" s="48">
        <v>0</v>
      </c>
      <c r="J32" s="48">
        <v>6.6</v>
      </c>
      <c r="K32" s="7" t="s">
        <v>104</v>
      </c>
      <c r="L32" s="7" t="s">
        <v>112</v>
      </c>
      <c r="M32" s="7" t="s">
        <v>166</v>
      </c>
      <c r="N32" s="7" t="s">
        <v>118</v>
      </c>
    </row>
    <row r="33" spans="1:14" x14ac:dyDescent="0.25">
      <c r="A33" s="7" t="s">
        <v>225</v>
      </c>
      <c r="B33" s="7" t="s">
        <v>225</v>
      </c>
      <c r="C33" s="7" t="s">
        <v>163</v>
      </c>
      <c r="D33" s="7" t="s">
        <v>179</v>
      </c>
      <c r="E33" s="7" t="s">
        <v>226</v>
      </c>
      <c r="F33" s="48">
        <v>0</v>
      </c>
      <c r="G33" s="48">
        <v>0</v>
      </c>
      <c r="H33" s="48">
        <v>0</v>
      </c>
      <c r="I33" s="48">
        <v>0</v>
      </c>
      <c r="J33" s="48">
        <v>6.6</v>
      </c>
      <c r="K33" s="7" t="s">
        <v>104</v>
      </c>
      <c r="L33" s="7" t="s">
        <v>112</v>
      </c>
      <c r="M33" s="7" t="s">
        <v>166</v>
      </c>
      <c r="N33" s="7" t="s">
        <v>118</v>
      </c>
    </row>
    <row r="34" spans="1:14" x14ac:dyDescent="0.25">
      <c r="A34" s="7" t="s">
        <v>227</v>
      </c>
      <c r="B34" s="7" t="s">
        <v>227</v>
      </c>
      <c r="C34" s="7" t="s">
        <v>163</v>
      </c>
      <c r="D34" s="7" t="s">
        <v>179</v>
      </c>
      <c r="E34" s="7" t="s">
        <v>228</v>
      </c>
      <c r="F34" s="48">
        <v>0</v>
      </c>
      <c r="G34" s="48">
        <v>0</v>
      </c>
      <c r="H34" s="48">
        <v>0</v>
      </c>
      <c r="I34" s="48">
        <v>0</v>
      </c>
      <c r="J34" s="48">
        <v>6.6</v>
      </c>
      <c r="K34" s="7" t="s">
        <v>104</v>
      </c>
      <c r="L34" s="7" t="s">
        <v>112</v>
      </c>
      <c r="M34" s="7" t="s">
        <v>166</v>
      </c>
      <c r="N34" s="7" t="s">
        <v>118</v>
      </c>
    </row>
    <row r="35" spans="1:14" x14ac:dyDescent="0.25">
      <c r="A35" s="7" t="s">
        <v>229</v>
      </c>
      <c r="B35" s="7" t="s">
        <v>229</v>
      </c>
      <c r="C35" s="7" t="s">
        <v>163</v>
      </c>
      <c r="D35" s="7" t="s">
        <v>179</v>
      </c>
      <c r="E35" s="7" t="s">
        <v>230</v>
      </c>
      <c r="F35" s="48">
        <v>0</v>
      </c>
      <c r="G35" s="48">
        <v>0</v>
      </c>
      <c r="H35" s="48">
        <v>0</v>
      </c>
      <c r="I35" s="48">
        <v>0</v>
      </c>
      <c r="J35" s="48">
        <v>11.5</v>
      </c>
      <c r="K35" s="7" t="s">
        <v>104</v>
      </c>
      <c r="L35" s="7" t="s">
        <v>112</v>
      </c>
      <c r="M35" s="7" t="s">
        <v>166</v>
      </c>
      <c r="N35" s="7" t="s">
        <v>118</v>
      </c>
    </row>
    <row r="36" spans="1:14" x14ac:dyDescent="0.25">
      <c r="A36" s="7" t="s">
        <v>231</v>
      </c>
      <c r="B36" s="7" t="s">
        <v>231</v>
      </c>
      <c r="C36" s="7" t="s">
        <v>163</v>
      </c>
      <c r="D36" s="7" t="s">
        <v>232</v>
      </c>
      <c r="E36" s="7" t="s">
        <v>233</v>
      </c>
      <c r="F36" s="48">
        <v>0</v>
      </c>
      <c r="G36" s="48">
        <v>0</v>
      </c>
      <c r="H36" s="48">
        <v>0</v>
      </c>
      <c r="I36" s="48">
        <v>0</v>
      </c>
      <c r="J36" s="48">
        <v>2.56</v>
      </c>
      <c r="K36" s="7" t="s">
        <v>104</v>
      </c>
      <c r="L36" s="7" t="s">
        <v>112</v>
      </c>
      <c r="M36" s="7" t="s">
        <v>166</v>
      </c>
      <c r="N36" s="7" t="s">
        <v>118</v>
      </c>
    </row>
    <row r="37" spans="1:14" x14ac:dyDescent="0.25">
      <c r="A37" s="7" t="s">
        <v>234</v>
      </c>
      <c r="B37" s="7" t="s">
        <v>234</v>
      </c>
      <c r="C37" s="7" t="s">
        <v>163</v>
      </c>
      <c r="D37" s="7" t="s">
        <v>232</v>
      </c>
      <c r="E37" s="7" t="s">
        <v>235</v>
      </c>
      <c r="F37" s="48">
        <v>0</v>
      </c>
      <c r="G37" s="48">
        <v>0</v>
      </c>
      <c r="H37" s="48">
        <v>0</v>
      </c>
      <c r="I37" s="48">
        <v>0</v>
      </c>
      <c r="J37" s="48">
        <v>-0.04</v>
      </c>
      <c r="K37" s="7" t="s">
        <v>104</v>
      </c>
      <c r="L37" s="7" t="s">
        <v>112</v>
      </c>
      <c r="M37" s="7" t="s">
        <v>166</v>
      </c>
      <c r="N37" s="7" t="s">
        <v>118</v>
      </c>
    </row>
    <row r="38" spans="1:14" x14ac:dyDescent="0.25">
      <c r="A38" s="7" t="s">
        <v>236</v>
      </c>
      <c r="B38" s="7" t="s">
        <v>236</v>
      </c>
      <c r="C38" s="7" t="s">
        <v>163</v>
      </c>
      <c r="D38" s="7" t="s">
        <v>232</v>
      </c>
      <c r="E38" s="7" t="s">
        <v>237</v>
      </c>
      <c r="F38" s="48">
        <v>0</v>
      </c>
      <c r="G38" s="48">
        <v>0</v>
      </c>
      <c r="H38" s="48">
        <v>0</v>
      </c>
      <c r="I38" s="48">
        <v>0</v>
      </c>
      <c r="J38" s="48">
        <v>2.73</v>
      </c>
      <c r="K38" s="7" t="s">
        <v>104</v>
      </c>
      <c r="L38" s="7" t="s">
        <v>112</v>
      </c>
      <c r="M38" s="7" t="s">
        <v>166</v>
      </c>
      <c r="N38" s="7" t="s">
        <v>118</v>
      </c>
    </row>
    <row r="39" spans="1:14" x14ac:dyDescent="0.25">
      <c r="A39" s="7" t="s">
        <v>238</v>
      </c>
      <c r="B39" s="7" t="s">
        <v>238</v>
      </c>
      <c r="C39" s="7" t="s">
        <v>163</v>
      </c>
      <c r="D39" s="7" t="s">
        <v>239</v>
      </c>
      <c r="E39" s="7" t="s">
        <v>240</v>
      </c>
      <c r="F39" s="48">
        <v>0</v>
      </c>
      <c r="G39" s="48">
        <v>0</v>
      </c>
      <c r="H39" s="48">
        <v>0</v>
      </c>
      <c r="I39" s="48">
        <v>0</v>
      </c>
      <c r="J39" s="48">
        <v>17.5</v>
      </c>
      <c r="K39" s="7" t="s">
        <v>104</v>
      </c>
      <c r="L39" s="7" t="s">
        <v>112</v>
      </c>
      <c r="M39" s="7" t="s">
        <v>166</v>
      </c>
      <c r="N39" s="7" t="s">
        <v>118</v>
      </c>
    </row>
    <row r="40" spans="1:14" x14ac:dyDescent="0.25">
      <c r="A40" s="7" t="s">
        <v>241</v>
      </c>
      <c r="B40" s="7" t="s">
        <v>241</v>
      </c>
      <c r="C40" s="7" t="s">
        <v>163</v>
      </c>
      <c r="D40" s="7" t="s">
        <v>239</v>
      </c>
      <c r="E40" s="7" t="s">
        <v>242</v>
      </c>
      <c r="F40" s="48">
        <v>0</v>
      </c>
      <c r="G40" s="48">
        <v>0</v>
      </c>
      <c r="H40" s="48">
        <v>0</v>
      </c>
      <c r="I40" s="48">
        <v>0</v>
      </c>
      <c r="J40" s="48">
        <v>17.5</v>
      </c>
      <c r="K40" s="7" t="s">
        <v>104</v>
      </c>
      <c r="L40" s="7" t="s">
        <v>112</v>
      </c>
      <c r="M40" s="7" t="s">
        <v>166</v>
      </c>
      <c r="N40" s="7" t="s">
        <v>118</v>
      </c>
    </row>
    <row r="41" spans="1:14" x14ac:dyDescent="0.25">
      <c r="A41" s="7" t="s">
        <v>243</v>
      </c>
      <c r="B41" s="7" t="s">
        <v>243</v>
      </c>
      <c r="C41" s="7" t="s">
        <v>163</v>
      </c>
      <c r="D41" s="7" t="s">
        <v>239</v>
      </c>
      <c r="E41" s="7" t="s">
        <v>244</v>
      </c>
      <c r="F41" s="48">
        <v>0</v>
      </c>
      <c r="G41" s="48">
        <v>0</v>
      </c>
      <c r="H41" s="48">
        <v>0</v>
      </c>
      <c r="I41" s="48">
        <v>0</v>
      </c>
      <c r="J41" s="48">
        <v>17.5</v>
      </c>
      <c r="K41" s="7" t="s">
        <v>104</v>
      </c>
      <c r="L41" s="7" t="s">
        <v>112</v>
      </c>
      <c r="M41" s="7" t="s">
        <v>166</v>
      </c>
      <c r="N41" s="7" t="s">
        <v>118</v>
      </c>
    </row>
    <row r="42" spans="1:14" x14ac:dyDescent="0.25">
      <c r="A42" s="7" t="s">
        <v>245</v>
      </c>
      <c r="B42" s="7" t="s">
        <v>245</v>
      </c>
      <c r="C42" s="7" t="s">
        <v>163</v>
      </c>
      <c r="D42" s="7" t="s">
        <v>239</v>
      </c>
      <c r="E42" s="7" t="s">
        <v>246</v>
      </c>
      <c r="F42" s="48">
        <v>0</v>
      </c>
      <c r="G42" s="48">
        <v>0</v>
      </c>
      <c r="H42" s="48">
        <v>0</v>
      </c>
      <c r="I42" s="48">
        <v>0</v>
      </c>
      <c r="J42" s="48">
        <v>21</v>
      </c>
      <c r="K42" s="7" t="s">
        <v>104</v>
      </c>
      <c r="L42" s="7" t="s">
        <v>112</v>
      </c>
      <c r="M42" s="7" t="s">
        <v>166</v>
      </c>
      <c r="N42" s="7" t="s">
        <v>118</v>
      </c>
    </row>
    <row r="43" spans="1:14" x14ac:dyDescent="0.25">
      <c r="A43" s="7" t="s">
        <v>247</v>
      </c>
      <c r="B43" s="7" t="s">
        <v>247</v>
      </c>
      <c r="C43" s="7" t="s">
        <v>163</v>
      </c>
      <c r="D43" s="7" t="s">
        <v>239</v>
      </c>
      <c r="E43" s="7" t="s">
        <v>248</v>
      </c>
      <c r="F43" s="48">
        <v>0</v>
      </c>
      <c r="G43" s="48">
        <v>0</v>
      </c>
      <c r="H43" s="48">
        <v>0</v>
      </c>
      <c r="I43" s="48">
        <v>0</v>
      </c>
      <c r="J43" s="48">
        <v>21</v>
      </c>
      <c r="K43" s="7" t="s">
        <v>104</v>
      </c>
      <c r="L43" s="7" t="s">
        <v>112</v>
      </c>
      <c r="M43" s="7" t="s">
        <v>166</v>
      </c>
      <c r="N43" s="7" t="s">
        <v>118</v>
      </c>
    </row>
    <row r="44" spans="1:14" x14ac:dyDescent="0.25">
      <c r="A44" s="7" t="s">
        <v>249</v>
      </c>
      <c r="B44" s="7" t="s">
        <v>249</v>
      </c>
      <c r="C44" s="7" t="s">
        <v>163</v>
      </c>
      <c r="D44" s="7" t="s">
        <v>164</v>
      </c>
      <c r="E44" s="7" t="s">
        <v>250</v>
      </c>
      <c r="F44" s="48">
        <v>0</v>
      </c>
      <c r="G44" s="48">
        <v>0</v>
      </c>
      <c r="H44" s="48">
        <v>0</v>
      </c>
      <c r="I44" s="48">
        <v>0</v>
      </c>
      <c r="J44" s="48">
        <v>2.16</v>
      </c>
      <c r="K44" s="7" t="s">
        <v>104</v>
      </c>
      <c r="L44" s="7" t="s">
        <v>103</v>
      </c>
      <c r="M44" s="7" t="s">
        <v>166</v>
      </c>
      <c r="N44" s="7" t="s">
        <v>117</v>
      </c>
    </row>
    <row r="45" spans="1:14" x14ac:dyDescent="0.25">
      <c r="A45" s="7" t="s">
        <v>251</v>
      </c>
      <c r="B45" s="7" t="s">
        <v>251</v>
      </c>
      <c r="C45" s="7" t="s">
        <v>163</v>
      </c>
      <c r="D45" s="7" t="s">
        <v>164</v>
      </c>
      <c r="E45" s="7" t="s">
        <v>252</v>
      </c>
      <c r="F45" s="48">
        <v>0</v>
      </c>
      <c r="G45" s="48">
        <v>0</v>
      </c>
      <c r="H45" s="48">
        <v>0</v>
      </c>
      <c r="I45" s="48">
        <v>0</v>
      </c>
      <c r="J45" s="48">
        <v>2.2200000000000002</v>
      </c>
      <c r="K45" s="7" t="s">
        <v>104</v>
      </c>
      <c r="L45" s="7" t="s">
        <v>103</v>
      </c>
      <c r="M45" s="7" t="s">
        <v>166</v>
      </c>
      <c r="N45" s="7" t="s">
        <v>117</v>
      </c>
    </row>
    <row r="46" spans="1:14" x14ac:dyDescent="0.25">
      <c r="A46" s="7" t="s">
        <v>253</v>
      </c>
      <c r="B46" s="7" t="s">
        <v>253</v>
      </c>
      <c r="C46" s="7" t="s">
        <v>163</v>
      </c>
      <c r="D46" s="7" t="s">
        <v>164</v>
      </c>
      <c r="E46" s="7" t="s">
        <v>254</v>
      </c>
      <c r="F46" s="48">
        <v>0</v>
      </c>
      <c r="G46" s="48">
        <v>0</v>
      </c>
      <c r="H46" s="48">
        <v>0</v>
      </c>
      <c r="I46" s="48">
        <v>0</v>
      </c>
      <c r="J46" s="48">
        <v>2.08</v>
      </c>
      <c r="K46" s="7" t="s">
        <v>104</v>
      </c>
      <c r="L46" s="7" t="s">
        <v>103</v>
      </c>
      <c r="M46" s="7" t="s">
        <v>166</v>
      </c>
      <c r="N46" s="7" t="s">
        <v>117</v>
      </c>
    </row>
    <row r="47" spans="1:14" x14ac:dyDescent="0.25">
      <c r="A47" s="7" t="s">
        <v>255</v>
      </c>
      <c r="B47" s="7" t="s">
        <v>255</v>
      </c>
      <c r="C47" s="7" t="s">
        <v>163</v>
      </c>
      <c r="D47" s="7" t="s">
        <v>164</v>
      </c>
      <c r="E47" s="7" t="s">
        <v>256</v>
      </c>
      <c r="F47" s="48">
        <v>0</v>
      </c>
      <c r="G47" s="48">
        <v>0</v>
      </c>
      <c r="H47" s="48">
        <v>0</v>
      </c>
      <c r="I47" s="48">
        <v>0</v>
      </c>
      <c r="J47" s="48">
        <v>2.44</v>
      </c>
      <c r="K47" s="7" t="s">
        <v>104</v>
      </c>
      <c r="L47" s="7" t="s">
        <v>103</v>
      </c>
      <c r="M47" s="7" t="s">
        <v>166</v>
      </c>
      <c r="N47" s="7" t="s">
        <v>117</v>
      </c>
    </row>
    <row r="48" spans="1:14" x14ac:dyDescent="0.25">
      <c r="A48" s="7" t="s">
        <v>257</v>
      </c>
      <c r="B48" s="7" t="s">
        <v>257</v>
      </c>
      <c r="C48" s="7" t="s">
        <v>163</v>
      </c>
      <c r="D48" s="7" t="s">
        <v>164</v>
      </c>
      <c r="E48" s="7" t="s">
        <v>258</v>
      </c>
      <c r="F48" s="48">
        <v>0</v>
      </c>
      <c r="G48" s="48">
        <v>0</v>
      </c>
      <c r="H48" s="48">
        <v>0</v>
      </c>
      <c r="I48" s="48">
        <v>0</v>
      </c>
      <c r="J48" s="48">
        <v>2.0299999999999998</v>
      </c>
      <c r="K48" s="7" t="s">
        <v>104</v>
      </c>
      <c r="L48" s="7" t="s">
        <v>103</v>
      </c>
      <c r="M48" s="7" t="s">
        <v>166</v>
      </c>
      <c r="N48" s="7" t="s">
        <v>117</v>
      </c>
    </row>
    <row r="49" spans="1:14" x14ac:dyDescent="0.25">
      <c r="A49" s="7" t="s">
        <v>259</v>
      </c>
      <c r="B49" s="7" t="s">
        <v>259</v>
      </c>
      <c r="C49" s="7" t="s">
        <v>163</v>
      </c>
      <c r="D49" s="7" t="s">
        <v>164</v>
      </c>
      <c r="E49" s="7" t="s">
        <v>260</v>
      </c>
      <c r="F49" s="48">
        <v>0</v>
      </c>
      <c r="G49" s="48">
        <v>0</v>
      </c>
      <c r="H49" s="48">
        <v>0</v>
      </c>
      <c r="I49" s="48">
        <v>0</v>
      </c>
      <c r="J49" s="48">
        <v>2.4700000000000002</v>
      </c>
      <c r="K49" s="7" t="s">
        <v>104</v>
      </c>
      <c r="L49" s="7" t="s">
        <v>103</v>
      </c>
      <c r="M49" s="7" t="s">
        <v>166</v>
      </c>
      <c r="N49" s="7" t="s">
        <v>117</v>
      </c>
    </row>
    <row r="50" spans="1:14" x14ac:dyDescent="0.25">
      <c r="A50" s="7" t="s">
        <v>261</v>
      </c>
      <c r="B50" s="7" t="s">
        <v>261</v>
      </c>
      <c r="C50" s="7" t="s">
        <v>163</v>
      </c>
      <c r="D50" s="7" t="s">
        <v>164</v>
      </c>
      <c r="E50" s="7" t="s">
        <v>262</v>
      </c>
      <c r="F50" s="48">
        <v>0</v>
      </c>
      <c r="G50" s="48">
        <v>0</v>
      </c>
      <c r="H50" s="48">
        <v>0</v>
      </c>
      <c r="I50" s="48">
        <v>0</v>
      </c>
      <c r="J50" s="48">
        <v>2.4900000000000002</v>
      </c>
      <c r="K50" s="7" t="s">
        <v>104</v>
      </c>
      <c r="L50" s="7" t="s">
        <v>103</v>
      </c>
      <c r="M50" s="7" t="s">
        <v>166</v>
      </c>
      <c r="N50" s="7" t="s">
        <v>117</v>
      </c>
    </row>
    <row r="51" spans="1:14" x14ac:dyDescent="0.25">
      <c r="A51" s="7" t="s">
        <v>263</v>
      </c>
      <c r="B51" s="7" t="s">
        <v>263</v>
      </c>
      <c r="C51" s="7" t="s">
        <v>163</v>
      </c>
      <c r="D51" s="7" t="s">
        <v>164</v>
      </c>
      <c r="E51" s="7" t="s">
        <v>264</v>
      </c>
      <c r="F51" s="48">
        <v>0</v>
      </c>
      <c r="G51" s="48">
        <v>0</v>
      </c>
      <c r="H51" s="48">
        <v>0</v>
      </c>
      <c r="I51" s="48">
        <v>0</v>
      </c>
      <c r="J51" s="48">
        <v>2.5499999999999998</v>
      </c>
      <c r="K51" s="7" t="s">
        <v>104</v>
      </c>
      <c r="L51" s="7" t="s">
        <v>103</v>
      </c>
      <c r="M51" s="7" t="s">
        <v>166</v>
      </c>
      <c r="N51" s="7" t="s">
        <v>117</v>
      </c>
    </row>
    <row r="52" spans="1:14" x14ac:dyDescent="0.25">
      <c r="A52" s="7" t="s">
        <v>265</v>
      </c>
      <c r="B52" s="7" t="s">
        <v>265</v>
      </c>
      <c r="C52" s="7" t="s">
        <v>163</v>
      </c>
      <c r="D52" s="7" t="s">
        <v>164</v>
      </c>
      <c r="E52" s="7" t="s">
        <v>266</v>
      </c>
      <c r="F52" s="48">
        <v>0</v>
      </c>
      <c r="G52" s="48">
        <v>0</v>
      </c>
      <c r="H52" s="48">
        <v>0</v>
      </c>
      <c r="I52" s="48">
        <v>0</v>
      </c>
      <c r="J52" s="48">
        <v>2.54</v>
      </c>
      <c r="K52" s="7" t="s">
        <v>104</v>
      </c>
      <c r="L52" s="7" t="s">
        <v>103</v>
      </c>
      <c r="M52" s="7" t="s">
        <v>166</v>
      </c>
      <c r="N52" s="7" t="s">
        <v>117</v>
      </c>
    </row>
    <row r="53" spans="1:14" x14ac:dyDescent="0.25">
      <c r="A53" s="7" t="s">
        <v>267</v>
      </c>
      <c r="B53" s="7" t="s">
        <v>267</v>
      </c>
      <c r="C53" s="7" t="s">
        <v>163</v>
      </c>
      <c r="D53" s="7" t="s">
        <v>164</v>
      </c>
      <c r="E53" s="7" t="s">
        <v>268</v>
      </c>
      <c r="F53" s="48">
        <v>0</v>
      </c>
      <c r="G53" s="48">
        <v>0</v>
      </c>
      <c r="H53" s="48">
        <v>0</v>
      </c>
      <c r="I53" s="48">
        <v>0</v>
      </c>
      <c r="J53" s="48">
        <v>2.34</v>
      </c>
      <c r="K53" s="7" t="s">
        <v>104</v>
      </c>
      <c r="L53" s="7" t="s">
        <v>103</v>
      </c>
      <c r="M53" s="7" t="s">
        <v>166</v>
      </c>
      <c r="N53" s="7" t="s">
        <v>117</v>
      </c>
    </row>
    <row r="54" spans="1:14" x14ac:dyDescent="0.25">
      <c r="A54" s="7" t="s">
        <v>269</v>
      </c>
      <c r="B54" s="7" t="s">
        <v>269</v>
      </c>
      <c r="C54" s="7" t="s">
        <v>163</v>
      </c>
      <c r="D54" s="7" t="s">
        <v>164</v>
      </c>
      <c r="E54" s="7" t="s">
        <v>270</v>
      </c>
      <c r="F54" s="48">
        <v>0</v>
      </c>
      <c r="G54" s="48">
        <v>0</v>
      </c>
      <c r="H54" s="48">
        <v>0</v>
      </c>
      <c r="I54" s="48">
        <v>0</v>
      </c>
      <c r="J54" s="48">
        <v>2.4700000000000002</v>
      </c>
      <c r="K54" s="7" t="s">
        <v>104</v>
      </c>
      <c r="L54" s="7" t="s">
        <v>103</v>
      </c>
      <c r="M54" s="7" t="s">
        <v>166</v>
      </c>
      <c r="N54" s="7" t="s">
        <v>117</v>
      </c>
    </row>
    <row r="55" spans="1:14" x14ac:dyDescent="0.25">
      <c r="A55" s="7" t="s">
        <v>271</v>
      </c>
      <c r="B55" s="7" t="s">
        <v>271</v>
      </c>
      <c r="C55" s="7" t="s">
        <v>163</v>
      </c>
      <c r="D55" s="7" t="s">
        <v>164</v>
      </c>
      <c r="E55" s="7" t="s">
        <v>272</v>
      </c>
      <c r="F55" s="48">
        <v>0</v>
      </c>
      <c r="G55" s="48">
        <v>0</v>
      </c>
      <c r="H55" s="48">
        <v>0</v>
      </c>
      <c r="I55" s="48">
        <v>0</v>
      </c>
      <c r="J55" s="48">
        <v>2.4900000000000002</v>
      </c>
      <c r="K55" s="7" t="s">
        <v>104</v>
      </c>
      <c r="L55" s="7" t="s">
        <v>103</v>
      </c>
      <c r="M55" s="7" t="s">
        <v>166</v>
      </c>
      <c r="N55" s="7" t="s">
        <v>117</v>
      </c>
    </row>
    <row r="56" spans="1:14" x14ac:dyDescent="0.25">
      <c r="A56" s="7" t="s">
        <v>273</v>
      </c>
      <c r="B56" s="7" t="s">
        <v>273</v>
      </c>
      <c r="C56" s="7" t="s">
        <v>163</v>
      </c>
      <c r="D56" s="7" t="s">
        <v>164</v>
      </c>
      <c r="E56" s="7" t="s">
        <v>274</v>
      </c>
      <c r="F56" s="48">
        <v>0</v>
      </c>
      <c r="G56" s="48">
        <v>0</v>
      </c>
      <c r="H56" s="48">
        <v>0</v>
      </c>
      <c r="I56" s="48">
        <v>0</v>
      </c>
      <c r="J56" s="48">
        <v>2.4</v>
      </c>
      <c r="K56" s="7" t="s">
        <v>104</v>
      </c>
      <c r="L56" s="7" t="s">
        <v>103</v>
      </c>
      <c r="M56" s="7" t="s">
        <v>166</v>
      </c>
      <c r="N56" s="7" t="s">
        <v>117</v>
      </c>
    </row>
    <row r="57" spans="1:14" x14ac:dyDescent="0.25">
      <c r="A57" s="7" t="s">
        <v>275</v>
      </c>
      <c r="B57" s="7" t="s">
        <v>275</v>
      </c>
      <c r="C57" s="7" t="s">
        <v>163</v>
      </c>
      <c r="D57" s="7" t="s">
        <v>164</v>
      </c>
      <c r="E57" s="7" t="s">
        <v>276</v>
      </c>
      <c r="F57" s="48">
        <v>0</v>
      </c>
      <c r="G57" s="48">
        <v>0</v>
      </c>
      <c r="H57" s="48">
        <v>0</v>
      </c>
      <c r="I57" s="48">
        <v>0</v>
      </c>
      <c r="J57" s="48">
        <v>2.3199999999999998</v>
      </c>
      <c r="K57" s="7" t="s">
        <v>104</v>
      </c>
      <c r="L57" s="7" t="s">
        <v>103</v>
      </c>
      <c r="M57" s="7" t="s">
        <v>166</v>
      </c>
      <c r="N57" s="7" t="s">
        <v>117</v>
      </c>
    </row>
    <row r="58" spans="1:14" x14ac:dyDescent="0.25">
      <c r="A58" s="7" t="s">
        <v>277</v>
      </c>
      <c r="B58" s="7" t="s">
        <v>277</v>
      </c>
      <c r="C58" s="7" t="s">
        <v>163</v>
      </c>
      <c r="D58" s="7" t="s">
        <v>164</v>
      </c>
      <c r="E58" s="7" t="s">
        <v>278</v>
      </c>
      <c r="F58" s="48">
        <v>0</v>
      </c>
      <c r="G58" s="48">
        <v>0</v>
      </c>
      <c r="H58" s="48">
        <v>0</v>
      </c>
      <c r="I58" s="48">
        <v>0</v>
      </c>
      <c r="J58" s="48">
        <v>2.37</v>
      </c>
      <c r="K58" s="7" t="s">
        <v>104</v>
      </c>
      <c r="L58" s="7" t="s">
        <v>103</v>
      </c>
      <c r="M58" s="7" t="s">
        <v>166</v>
      </c>
      <c r="N58" s="7" t="s">
        <v>117</v>
      </c>
    </row>
    <row r="59" spans="1:14" x14ac:dyDescent="0.25">
      <c r="A59" s="7" t="s">
        <v>279</v>
      </c>
      <c r="B59" s="7" t="s">
        <v>279</v>
      </c>
      <c r="C59" s="7" t="s">
        <v>163</v>
      </c>
      <c r="D59" s="7" t="s">
        <v>164</v>
      </c>
      <c r="E59" s="7" t="s">
        <v>280</v>
      </c>
      <c r="F59" s="48">
        <v>0</v>
      </c>
      <c r="G59" s="48">
        <v>0</v>
      </c>
      <c r="H59" s="48">
        <v>0</v>
      </c>
      <c r="I59" s="48">
        <v>0</v>
      </c>
      <c r="J59" s="48">
        <v>2.2999999999999998</v>
      </c>
      <c r="K59" s="7" t="s">
        <v>104</v>
      </c>
      <c r="L59" s="7" t="s">
        <v>103</v>
      </c>
      <c r="M59" s="7" t="s">
        <v>166</v>
      </c>
      <c r="N59" s="7" t="s">
        <v>117</v>
      </c>
    </row>
    <row r="60" spans="1:14" x14ac:dyDescent="0.25">
      <c r="A60" s="7" t="s">
        <v>281</v>
      </c>
      <c r="B60" s="7" t="s">
        <v>281</v>
      </c>
      <c r="C60" s="7" t="s">
        <v>163</v>
      </c>
      <c r="D60" s="7" t="s">
        <v>164</v>
      </c>
      <c r="E60" s="7" t="s">
        <v>282</v>
      </c>
      <c r="F60" s="48">
        <v>0</v>
      </c>
      <c r="G60" s="48">
        <v>0</v>
      </c>
      <c r="H60" s="48">
        <v>0</v>
      </c>
      <c r="I60" s="48">
        <v>0</v>
      </c>
      <c r="J60" s="48">
        <v>2.21</v>
      </c>
      <c r="K60" s="7" t="s">
        <v>104</v>
      </c>
      <c r="L60" s="7" t="s">
        <v>103</v>
      </c>
      <c r="M60" s="7" t="s">
        <v>166</v>
      </c>
      <c r="N60" s="7" t="s">
        <v>117</v>
      </c>
    </row>
    <row r="61" spans="1:14" x14ac:dyDescent="0.25">
      <c r="A61" s="7" t="s">
        <v>283</v>
      </c>
      <c r="B61" s="7" t="s">
        <v>283</v>
      </c>
      <c r="C61" s="7" t="s">
        <v>163</v>
      </c>
      <c r="D61" s="7" t="s">
        <v>164</v>
      </c>
      <c r="E61" s="7" t="s">
        <v>284</v>
      </c>
      <c r="F61" s="48">
        <v>0</v>
      </c>
      <c r="G61" s="48">
        <v>0</v>
      </c>
      <c r="H61" s="48">
        <v>0</v>
      </c>
      <c r="I61" s="48">
        <v>0</v>
      </c>
      <c r="J61" s="48">
        <v>2.33</v>
      </c>
      <c r="K61" s="7" t="s">
        <v>104</v>
      </c>
      <c r="L61" s="7" t="s">
        <v>103</v>
      </c>
      <c r="M61" s="7" t="s">
        <v>166</v>
      </c>
      <c r="N61" s="7" t="s">
        <v>117</v>
      </c>
    </row>
    <row r="62" spans="1:14" x14ac:dyDescent="0.25">
      <c r="A62" s="7" t="s">
        <v>285</v>
      </c>
      <c r="B62" s="7" t="s">
        <v>285</v>
      </c>
      <c r="C62" s="7" t="s">
        <v>163</v>
      </c>
      <c r="D62" s="7" t="s">
        <v>164</v>
      </c>
      <c r="E62" s="7" t="s">
        <v>286</v>
      </c>
      <c r="F62" s="48">
        <v>0</v>
      </c>
      <c r="G62" s="48">
        <v>0</v>
      </c>
      <c r="H62" s="48">
        <v>0</v>
      </c>
      <c r="I62" s="48">
        <v>0</v>
      </c>
      <c r="J62" s="48">
        <v>2.39</v>
      </c>
      <c r="K62" s="7" t="s">
        <v>104</v>
      </c>
      <c r="L62" s="7" t="s">
        <v>103</v>
      </c>
      <c r="M62" s="7" t="s">
        <v>166</v>
      </c>
      <c r="N62" s="7" t="s">
        <v>117</v>
      </c>
    </row>
    <row r="63" spans="1:14" x14ac:dyDescent="0.25">
      <c r="A63" s="7" t="s">
        <v>287</v>
      </c>
      <c r="B63" s="7" t="s">
        <v>287</v>
      </c>
      <c r="C63" s="7" t="s">
        <v>163</v>
      </c>
      <c r="D63" s="7" t="s">
        <v>170</v>
      </c>
      <c r="E63" s="7" t="s">
        <v>288</v>
      </c>
      <c r="F63" s="48">
        <v>0</v>
      </c>
      <c r="G63" s="48">
        <v>0</v>
      </c>
      <c r="H63" s="48">
        <v>0</v>
      </c>
      <c r="I63" s="48">
        <v>0</v>
      </c>
      <c r="J63" s="48">
        <v>6.46</v>
      </c>
      <c r="K63" s="7" t="s">
        <v>104</v>
      </c>
      <c r="L63" s="7" t="s">
        <v>103</v>
      </c>
      <c r="M63" s="7" t="s">
        <v>166</v>
      </c>
      <c r="N63" s="7" t="s">
        <v>117</v>
      </c>
    </row>
    <row r="64" spans="1:14" x14ac:dyDescent="0.25">
      <c r="A64" s="7" t="s">
        <v>289</v>
      </c>
      <c r="B64" s="7" t="s">
        <v>289</v>
      </c>
      <c r="C64" s="7" t="s">
        <v>163</v>
      </c>
      <c r="D64" s="7" t="s">
        <v>170</v>
      </c>
      <c r="E64" s="7" t="s">
        <v>290</v>
      </c>
      <c r="F64" s="48">
        <v>0</v>
      </c>
      <c r="G64" s="48">
        <v>0</v>
      </c>
      <c r="H64" s="48">
        <v>0</v>
      </c>
      <c r="I64" s="48">
        <v>0</v>
      </c>
      <c r="J64" s="48">
        <v>6.12</v>
      </c>
      <c r="K64" s="7" t="s">
        <v>104</v>
      </c>
      <c r="L64" s="7" t="s">
        <v>103</v>
      </c>
      <c r="M64" s="7" t="s">
        <v>166</v>
      </c>
      <c r="N64" s="7" t="s">
        <v>117</v>
      </c>
    </row>
    <row r="65" spans="1:14" x14ac:dyDescent="0.25">
      <c r="A65" s="7" t="s">
        <v>291</v>
      </c>
      <c r="B65" s="7" t="s">
        <v>291</v>
      </c>
      <c r="C65" s="7" t="s">
        <v>163</v>
      </c>
      <c r="D65" s="7" t="s">
        <v>170</v>
      </c>
      <c r="E65" s="7" t="s">
        <v>292</v>
      </c>
      <c r="F65" s="48">
        <v>0</v>
      </c>
      <c r="G65" s="48">
        <v>0</v>
      </c>
      <c r="H65" s="48">
        <v>0</v>
      </c>
      <c r="I65" s="48">
        <v>0</v>
      </c>
      <c r="J65" s="48">
        <v>6.12</v>
      </c>
      <c r="K65" s="7" t="s">
        <v>104</v>
      </c>
      <c r="L65" s="7" t="s">
        <v>103</v>
      </c>
      <c r="M65" s="7" t="s">
        <v>166</v>
      </c>
      <c r="N65" s="7" t="s">
        <v>117</v>
      </c>
    </row>
    <row r="66" spans="1:14" x14ac:dyDescent="0.25">
      <c r="A66" s="7" t="s">
        <v>293</v>
      </c>
      <c r="B66" s="7" t="s">
        <v>293</v>
      </c>
      <c r="C66" s="7" t="s">
        <v>163</v>
      </c>
      <c r="D66" s="7" t="s">
        <v>170</v>
      </c>
      <c r="E66" s="7" t="s">
        <v>294</v>
      </c>
      <c r="F66" s="48">
        <v>0</v>
      </c>
      <c r="G66" s="48">
        <v>0</v>
      </c>
      <c r="H66" s="48">
        <v>0</v>
      </c>
      <c r="I66" s="48">
        <v>0</v>
      </c>
      <c r="J66" s="48">
        <v>6.12</v>
      </c>
      <c r="K66" s="7" t="s">
        <v>104</v>
      </c>
      <c r="L66" s="7" t="s">
        <v>103</v>
      </c>
      <c r="M66" s="7" t="s">
        <v>166</v>
      </c>
      <c r="N66" s="7" t="s">
        <v>117</v>
      </c>
    </row>
    <row r="67" spans="1:14" x14ac:dyDescent="0.25">
      <c r="A67" s="7" t="s">
        <v>295</v>
      </c>
      <c r="B67" s="7" t="s">
        <v>295</v>
      </c>
      <c r="C67" s="7" t="s">
        <v>163</v>
      </c>
      <c r="D67" s="7" t="s">
        <v>170</v>
      </c>
      <c r="E67" s="7" t="s">
        <v>296</v>
      </c>
      <c r="F67" s="48">
        <v>0</v>
      </c>
      <c r="G67" s="48">
        <v>0</v>
      </c>
      <c r="H67" s="48">
        <v>0</v>
      </c>
      <c r="I67" s="48">
        <v>0</v>
      </c>
      <c r="J67" s="48">
        <v>6.12</v>
      </c>
      <c r="K67" s="7" t="s">
        <v>104</v>
      </c>
      <c r="L67" s="7" t="s">
        <v>103</v>
      </c>
      <c r="M67" s="7" t="s">
        <v>166</v>
      </c>
      <c r="N67" s="7" t="s">
        <v>117</v>
      </c>
    </row>
    <row r="68" spans="1:14" x14ac:dyDescent="0.25">
      <c r="A68" s="7" t="s">
        <v>297</v>
      </c>
      <c r="B68" s="7" t="s">
        <v>297</v>
      </c>
      <c r="C68" s="7" t="s">
        <v>163</v>
      </c>
      <c r="D68" s="7" t="s">
        <v>170</v>
      </c>
      <c r="E68" s="7" t="s">
        <v>298</v>
      </c>
      <c r="F68" s="48">
        <v>0</v>
      </c>
      <c r="G68" s="48">
        <v>0</v>
      </c>
      <c r="H68" s="48">
        <v>0</v>
      </c>
      <c r="I68" s="48">
        <v>0</v>
      </c>
      <c r="J68" s="48">
        <v>5.78</v>
      </c>
      <c r="K68" s="7" t="s">
        <v>104</v>
      </c>
      <c r="L68" s="7" t="s">
        <v>103</v>
      </c>
      <c r="M68" s="7" t="s">
        <v>166</v>
      </c>
      <c r="N68" s="7" t="s">
        <v>117</v>
      </c>
    </row>
    <row r="69" spans="1:14" x14ac:dyDescent="0.25">
      <c r="A69" s="7" t="s">
        <v>299</v>
      </c>
      <c r="B69" s="7" t="s">
        <v>299</v>
      </c>
      <c r="C69" s="7" t="s">
        <v>163</v>
      </c>
      <c r="D69" s="7" t="s">
        <v>170</v>
      </c>
      <c r="E69" s="7" t="s">
        <v>300</v>
      </c>
      <c r="F69" s="48">
        <v>0</v>
      </c>
      <c r="G69" s="48">
        <v>0</v>
      </c>
      <c r="H69" s="48">
        <v>0</v>
      </c>
      <c r="I69" s="48">
        <v>0</v>
      </c>
      <c r="J69" s="48">
        <v>5.78</v>
      </c>
      <c r="K69" s="7" t="s">
        <v>104</v>
      </c>
      <c r="L69" s="7" t="s">
        <v>103</v>
      </c>
      <c r="M69" s="7" t="s">
        <v>166</v>
      </c>
      <c r="N69" s="7" t="s">
        <v>117</v>
      </c>
    </row>
    <row r="70" spans="1:14" x14ac:dyDescent="0.25">
      <c r="A70" s="7" t="s">
        <v>301</v>
      </c>
      <c r="B70" s="7" t="s">
        <v>301</v>
      </c>
      <c r="C70" s="7" t="s">
        <v>163</v>
      </c>
      <c r="D70" s="7" t="s">
        <v>170</v>
      </c>
      <c r="E70" s="7" t="s">
        <v>302</v>
      </c>
      <c r="F70" s="48">
        <v>0</v>
      </c>
      <c r="G70" s="48">
        <v>0</v>
      </c>
      <c r="H70" s="48">
        <v>0</v>
      </c>
      <c r="I70" s="48">
        <v>0</v>
      </c>
      <c r="J70" s="48">
        <v>5.78</v>
      </c>
      <c r="K70" s="7" t="s">
        <v>104</v>
      </c>
      <c r="L70" s="7" t="s">
        <v>103</v>
      </c>
      <c r="M70" s="7" t="s">
        <v>166</v>
      </c>
      <c r="N70" s="7" t="s">
        <v>117</v>
      </c>
    </row>
    <row r="71" spans="1:14" x14ac:dyDescent="0.25">
      <c r="A71" s="7" t="s">
        <v>303</v>
      </c>
      <c r="B71" s="7" t="s">
        <v>303</v>
      </c>
      <c r="C71" s="7" t="s">
        <v>163</v>
      </c>
      <c r="D71" s="7" t="s">
        <v>170</v>
      </c>
      <c r="E71" s="7" t="s">
        <v>304</v>
      </c>
      <c r="F71" s="48">
        <v>0</v>
      </c>
      <c r="G71" s="48">
        <v>0</v>
      </c>
      <c r="H71" s="48">
        <v>0</v>
      </c>
      <c r="I71" s="48">
        <v>0</v>
      </c>
      <c r="J71" s="48">
        <v>5.44</v>
      </c>
      <c r="K71" s="7" t="s">
        <v>104</v>
      </c>
      <c r="L71" s="7" t="s">
        <v>103</v>
      </c>
      <c r="M71" s="7" t="s">
        <v>166</v>
      </c>
      <c r="N71" s="7" t="s">
        <v>117</v>
      </c>
    </row>
    <row r="72" spans="1:14" x14ac:dyDescent="0.25">
      <c r="A72" s="7" t="s">
        <v>305</v>
      </c>
      <c r="B72" s="7" t="s">
        <v>305</v>
      </c>
      <c r="C72" s="7" t="s">
        <v>163</v>
      </c>
      <c r="D72" s="7" t="s">
        <v>170</v>
      </c>
      <c r="E72" s="7" t="s">
        <v>306</v>
      </c>
      <c r="F72" s="48">
        <v>0</v>
      </c>
      <c r="G72" s="48">
        <v>0</v>
      </c>
      <c r="H72" s="48">
        <v>0</v>
      </c>
      <c r="I72" s="48">
        <v>0</v>
      </c>
      <c r="J72" s="48">
        <v>5.44</v>
      </c>
      <c r="K72" s="7" t="s">
        <v>104</v>
      </c>
      <c r="L72" s="7" t="s">
        <v>103</v>
      </c>
      <c r="M72" s="7" t="s">
        <v>166</v>
      </c>
      <c r="N72" s="7" t="s">
        <v>117</v>
      </c>
    </row>
    <row r="73" spans="1:14" x14ac:dyDescent="0.25">
      <c r="A73" s="7" t="s">
        <v>307</v>
      </c>
      <c r="B73" s="7" t="s">
        <v>307</v>
      </c>
      <c r="C73" s="7" t="s">
        <v>163</v>
      </c>
      <c r="D73" s="7" t="s">
        <v>170</v>
      </c>
      <c r="E73" s="7" t="s">
        <v>308</v>
      </c>
      <c r="F73" s="48">
        <v>0</v>
      </c>
      <c r="G73" s="48">
        <v>0</v>
      </c>
      <c r="H73" s="48">
        <v>0</v>
      </c>
      <c r="I73" s="48">
        <v>0</v>
      </c>
      <c r="J73" s="48">
        <v>5.78</v>
      </c>
      <c r="K73" s="7" t="s">
        <v>104</v>
      </c>
      <c r="L73" s="7" t="s">
        <v>103</v>
      </c>
      <c r="M73" s="7" t="s">
        <v>166</v>
      </c>
      <c r="N73" s="7" t="s">
        <v>117</v>
      </c>
    </row>
    <row r="74" spans="1:14" x14ac:dyDescent="0.25">
      <c r="A74" s="7" t="s">
        <v>309</v>
      </c>
      <c r="B74" s="7" t="s">
        <v>309</v>
      </c>
      <c r="C74" s="7" t="s">
        <v>163</v>
      </c>
      <c r="D74" s="7" t="s">
        <v>170</v>
      </c>
      <c r="E74" s="7" t="s">
        <v>310</v>
      </c>
      <c r="F74" s="48">
        <v>0</v>
      </c>
      <c r="G74" s="48">
        <v>0</v>
      </c>
      <c r="H74" s="48">
        <v>0</v>
      </c>
      <c r="I74" s="48">
        <v>0</v>
      </c>
      <c r="J74" s="48">
        <v>5.0999999999999996</v>
      </c>
      <c r="K74" s="7" t="s">
        <v>104</v>
      </c>
      <c r="L74" s="7" t="s">
        <v>103</v>
      </c>
      <c r="M74" s="7" t="s">
        <v>166</v>
      </c>
      <c r="N74" s="7" t="s">
        <v>117</v>
      </c>
    </row>
    <row r="75" spans="1:14" x14ac:dyDescent="0.25">
      <c r="A75" s="7" t="s">
        <v>311</v>
      </c>
      <c r="B75" s="7" t="s">
        <v>311</v>
      </c>
      <c r="C75" s="7" t="s">
        <v>163</v>
      </c>
      <c r="D75" s="7" t="s">
        <v>170</v>
      </c>
      <c r="E75" s="7" t="s">
        <v>312</v>
      </c>
      <c r="F75" s="48">
        <v>0</v>
      </c>
      <c r="G75" s="48">
        <v>0</v>
      </c>
      <c r="H75" s="48">
        <v>0</v>
      </c>
      <c r="I75" s="48">
        <v>0</v>
      </c>
      <c r="J75" s="48">
        <v>5.0999999999999996</v>
      </c>
      <c r="K75" s="7" t="s">
        <v>104</v>
      </c>
      <c r="L75" s="7" t="s">
        <v>103</v>
      </c>
      <c r="M75" s="7" t="s">
        <v>166</v>
      </c>
      <c r="N75" s="7" t="s">
        <v>117</v>
      </c>
    </row>
    <row r="76" spans="1:14" x14ac:dyDescent="0.25">
      <c r="A76" s="7" t="s">
        <v>313</v>
      </c>
      <c r="B76" s="7" t="s">
        <v>313</v>
      </c>
      <c r="C76" s="7" t="s">
        <v>163</v>
      </c>
      <c r="D76" s="7" t="s">
        <v>170</v>
      </c>
      <c r="E76" s="7" t="s">
        <v>314</v>
      </c>
      <c r="F76" s="48">
        <v>0</v>
      </c>
      <c r="G76" s="48">
        <v>0</v>
      </c>
      <c r="H76" s="48">
        <v>0</v>
      </c>
      <c r="I76" s="48">
        <v>0</v>
      </c>
      <c r="J76" s="48">
        <v>5.0999999999999996</v>
      </c>
      <c r="K76" s="7" t="s">
        <v>104</v>
      </c>
      <c r="L76" s="7" t="s">
        <v>103</v>
      </c>
      <c r="M76" s="7" t="s">
        <v>166</v>
      </c>
      <c r="N76" s="7" t="s">
        <v>117</v>
      </c>
    </row>
    <row r="77" spans="1:14" x14ac:dyDescent="0.25">
      <c r="A77" s="7" t="s">
        <v>315</v>
      </c>
      <c r="B77" s="7" t="s">
        <v>315</v>
      </c>
      <c r="C77" s="7" t="s">
        <v>163</v>
      </c>
      <c r="D77" s="7" t="s">
        <v>170</v>
      </c>
      <c r="E77" s="7" t="s">
        <v>316</v>
      </c>
      <c r="F77" s="48">
        <v>0</v>
      </c>
      <c r="G77" s="48">
        <v>0</v>
      </c>
      <c r="H77" s="48">
        <v>0</v>
      </c>
      <c r="I77" s="48">
        <v>0</v>
      </c>
      <c r="J77" s="48">
        <v>5.44</v>
      </c>
      <c r="K77" s="7" t="s">
        <v>104</v>
      </c>
      <c r="L77" s="7" t="s">
        <v>103</v>
      </c>
      <c r="M77" s="7" t="s">
        <v>166</v>
      </c>
      <c r="N77" s="7" t="s">
        <v>117</v>
      </c>
    </row>
    <row r="78" spans="1:14" x14ac:dyDescent="0.25">
      <c r="A78" s="7" t="s">
        <v>317</v>
      </c>
      <c r="B78" s="7" t="s">
        <v>317</v>
      </c>
      <c r="C78" s="7" t="s">
        <v>163</v>
      </c>
      <c r="D78" s="7" t="s">
        <v>170</v>
      </c>
      <c r="E78" s="7" t="s">
        <v>318</v>
      </c>
      <c r="F78" s="48">
        <v>0</v>
      </c>
      <c r="G78" s="48">
        <v>0</v>
      </c>
      <c r="H78" s="48">
        <v>0</v>
      </c>
      <c r="I78" s="48">
        <v>0</v>
      </c>
      <c r="J78" s="48">
        <v>5.44</v>
      </c>
      <c r="K78" s="7" t="s">
        <v>104</v>
      </c>
      <c r="L78" s="7" t="s">
        <v>103</v>
      </c>
      <c r="M78" s="7" t="s">
        <v>166</v>
      </c>
      <c r="N78" s="7" t="s">
        <v>117</v>
      </c>
    </row>
    <row r="79" spans="1:14" x14ac:dyDescent="0.25">
      <c r="A79" s="7" t="s">
        <v>319</v>
      </c>
      <c r="B79" s="7" t="s">
        <v>319</v>
      </c>
      <c r="C79" s="7" t="s">
        <v>163</v>
      </c>
      <c r="D79" s="7" t="s">
        <v>170</v>
      </c>
      <c r="E79" s="7" t="s">
        <v>320</v>
      </c>
      <c r="F79" s="48">
        <v>0</v>
      </c>
      <c r="G79" s="48">
        <v>0</v>
      </c>
      <c r="H79" s="48">
        <v>0</v>
      </c>
      <c r="I79" s="48">
        <v>0</v>
      </c>
      <c r="J79" s="48">
        <v>12.92</v>
      </c>
      <c r="K79" s="7" t="s">
        <v>104</v>
      </c>
      <c r="L79" s="7" t="s">
        <v>103</v>
      </c>
      <c r="M79" s="7" t="s">
        <v>166</v>
      </c>
      <c r="N79" s="7" t="s">
        <v>117</v>
      </c>
    </row>
    <row r="80" spans="1:14" x14ac:dyDescent="0.25">
      <c r="A80" s="7" t="s">
        <v>321</v>
      </c>
      <c r="B80" s="7" t="s">
        <v>321</v>
      </c>
      <c r="C80" s="7" t="s">
        <v>163</v>
      </c>
      <c r="D80" s="7" t="s">
        <v>173</v>
      </c>
      <c r="E80" s="7" t="s">
        <v>322</v>
      </c>
      <c r="F80" s="48">
        <v>0</v>
      </c>
      <c r="G80" s="48">
        <v>0</v>
      </c>
      <c r="H80" s="48">
        <v>0</v>
      </c>
      <c r="I80" s="48">
        <v>0</v>
      </c>
      <c r="J80" s="48">
        <v>0.4</v>
      </c>
      <c r="K80" s="7" t="s">
        <v>104</v>
      </c>
      <c r="L80" s="7" t="s">
        <v>103</v>
      </c>
      <c r="M80" s="7" t="s">
        <v>166</v>
      </c>
      <c r="N80" s="7" t="s">
        <v>117</v>
      </c>
    </row>
    <row r="81" spans="1:14" x14ac:dyDescent="0.25">
      <c r="A81" s="7" t="s">
        <v>323</v>
      </c>
      <c r="B81" s="7" t="s">
        <v>323</v>
      </c>
      <c r="C81" s="7" t="s">
        <v>163</v>
      </c>
      <c r="D81" s="7" t="s">
        <v>173</v>
      </c>
      <c r="E81" s="7" t="s">
        <v>324</v>
      </c>
      <c r="F81" s="48">
        <v>0</v>
      </c>
      <c r="G81" s="48">
        <v>0</v>
      </c>
      <c r="H81" s="48">
        <v>0</v>
      </c>
      <c r="I81" s="48">
        <v>0</v>
      </c>
      <c r="J81" s="48">
        <v>0.4</v>
      </c>
      <c r="K81" s="7" t="s">
        <v>104</v>
      </c>
      <c r="L81" s="7" t="s">
        <v>103</v>
      </c>
      <c r="M81" s="7" t="s">
        <v>166</v>
      </c>
      <c r="N81" s="7" t="s">
        <v>117</v>
      </c>
    </row>
    <row r="82" spans="1:14" x14ac:dyDescent="0.25">
      <c r="A82" s="7" t="s">
        <v>325</v>
      </c>
      <c r="B82" s="7" t="s">
        <v>325</v>
      </c>
      <c r="C82" s="7" t="s">
        <v>163</v>
      </c>
      <c r="D82" s="7" t="s">
        <v>176</v>
      </c>
      <c r="E82" s="7" t="s">
        <v>326</v>
      </c>
      <c r="F82" s="48">
        <v>0</v>
      </c>
      <c r="G82" s="48">
        <v>0</v>
      </c>
      <c r="H82" s="48">
        <v>0</v>
      </c>
      <c r="I82" s="48">
        <v>0</v>
      </c>
      <c r="J82" s="48">
        <v>3.32</v>
      </c>
      <c r="K82" s="7" t="s">
        <v>104</v>
      </c>
      <c r="L82" s="7" t="s">
        <v>103</v>
      </c>
      <c r="M82" s="7" t="s">
        <v>166</v>
      </c>
      <c r="N82" s="7" t="s">
        <v>117</v>
      </c>
    </row>
    <row r="83" spans="1:14" x14ac:dyDescent="0.25">
      <c r="A83" s="7" t="s">
        <v>327</v>
      </c>
      <c r="B83" s="7" t="s">
        <v>327</v>
      </c>
      <c r="C83" s="7" t="s">
        <v>163</v>
      </c>
      <c r="D83" s="7" t="s">
        <v>176</v>
      </c>
      <c r="E83" s="7" t="s">
        <v>328</v>
      </c>
      <c r="F83" s="48">
        <v>0</v>
      </c>
      <c r="G83" s="48">
        <v>0</v>
      </c>
      <c r="H83" s="48">
        <v>0</v>
      </c>
      <c r="I83" s="48">
        <v>0</v>
      </c>
      <c r="J83" s="48">
        <v>3.32</v>
      </c>
      <c r="K83" s="7" t="s">
        <v>104</v>
      </c>
      <c r="L83" s="7" t="s">
        <v>103</v>
      </c>
      <c r="M83" s="7" t="s">
        <v>166</v>
      </c>
      <c r="N83" s="7" t="s">
        <v>117</v>
      </c>
    </row>
    <row r="84" spans="1:14" x14ac:dyDescent="0.25">
      <c r="A84" s="7" t="s">
        <v>329</v>
      </c>
      <c r="B84" s="7" t="s">
        <v>329</v>
      </c>
      <c r="C84" s="7" t="s">
        <v>163</v>
      </c>
      <c r="D84" s="7" t="s">
        <v>176</v>
      </c>
      <c r="E84" s="7" t="s">
        <v>330</v>
      </c>
      <c r="F84" s="48">
        <v>0</v>
      </c>
      <c r="G84" s="48">
        <v>0</v>
      </c>
      <c r="H84" s="48">
        <v>0</v>
      </c>
      <c r="I84" s="48">
        <v>0</v>
      </c>
      <c r="J84" s="48">
        <v>3.32</v>
      </c>
      <c r="K84" s="7" t="s">
        <v>104</v>
      </c>
      <c r="L84" s="7" t="s">
        <v>103</v>
      </c>
      <c r="M84" s="7" t="s">
        <v>166</v>
      </c>
      <c r="N84" s="7" t="s">
        <v>117</v>
      </c>
    </row>
    <row r="85" spans="1:14" x14ac:dyDescent="0.25">
      <c r="A85" s="7" t="s">
        <v>331</v>
      </c>
      <c r="B85" s="7" t="s">
        <v>331</v>
      </c>
      <c r="C85" s="7" t="s">
        <v>163</v>
      </c>
      <c r="D85" s="7" t="s">
        <v>176</v>
      </c>
      <c r="E85" s="7" t="s">
        <v>332</v>
      </c>
      <c r="F85" s="48">
        <v>0</v>
      </c>
      <c r="G85" s="48">
        <v>0</v>
      </c>
      <c r="H85" s="48">
        <v>0</v>
      </c>
      <c r="I85" s="48">
        <v>0</v>
      </c>
      <c r="J85" s="48">
        <v>3.06</v>
      </c>
      <c r="K85" s="7" t="s">
        <v>104</v>
      </c>
      <c r="L85" s="7" t="s">
        <v>103</v>
      </c>
      <c r="M85" s="7" t="s">
        <v>166</v>
      </c>
      <c r="N85" s="7" t="s">
        <v>117</v>
      </c>
    </row>
    <row r="86" spans="1:14" x14ac:dyDescent="0.25">
      <c r="A86" s="7" t="s">
        <v>333</v>
      </c>
      <c r="B86" s="7" t="s">
        <v>333</v>
      </c>
      <c r="C86" s="7" t="s">
        <v>163</v>
      </c>
      <c r="D86" s="7" t="s">
        <v>176</v>
      </c>
      <c r="E86" s="7" t="s">
        <v>334</v>
      </c>
      <c r="F86" s="48">
        <v>0</v>
      </c>
      <c r="G86" s="48">
        <v>0</v>
      </c>
      <c r="H86" s="48">
        <v>0</v>
      </c>
      <c r="I86" s="48">
        <v>0</v>
      </c>
      <c r="J86" s="48">
        <v>3.06</v>
      </c>
      <c r="K86" s="7" t="s">
        <v>104</v>
      </c>
      <c r="L86" s="7" t="s">
        <v>103</v>
      </c>
      <c r="M86" s="7" t="s">
        <v>166</v>
      </c>
      <c r="N86" s="7" t="s">
        <v>117</v>
      </c>
    </row>
    <row r="87" spans="1:14" x14ac:dyDescent="0.25">
      <c r="A87" s="7" t="s">
        <v>335</v>
      </c>
      <c r="B87" s="7" t="s">
        <v>335</v>
      </c>
      <c r="C87" s="7" t="s">
        <v>163</v>
      </c>
      <c r="D87" s="7" t="s">
        <v>176</v>
      </c>
      <c r="E87" s="7" t="s">
        <v>336</v>
      </c>
      <c r="F87" s="48">
        <v>0</v>
      </c>
      <c r="G87" s="48">
        <v>0</v>
      </c>
      <c r="H87" s="48">
        <v>0</v>
      </c>
      <c r="I87" s="48">
        <v>0</v>
      </c>
      <c r="J87" s="48">
        <v>3.57</v>
      </c>
      <c r="K87" s="7" t="s">
        <v>104</v>
      </c>
      <c r="L87" s="7" t="s">
        <v>103</v>
      </c>
      <c r="M87" s="7" t="s">
        <v>166</v>
      </c>
      <c r="N87" s="7" t="s">
        <v>117</v>
      </c>
    </row>
    <row r="88" spans="1:14" x14ac:dyDescent="0.25">
      <c r="A88" s="7" t="s">
        <v>337</v>
      </c>
      <c r="B88" s="7" t="s">
        <v>337</v>
      </c>
      <c r="C88" s="7" t="s">
        <v>163</v>
      </c>
      <c r="D88" s="7" t="s">
        <v>176</v>
      </c>
      <c r="E88" s="7" t="s">
        <v>338</v>
      </c>
      <c r="F88" s="48">
        <v>0</v>
      </c>
      <c r="G88" s="48">
        <v>0</v>
      </c>
      <c r="H88" s="48">
        <v>0</v>
      </c>
      <c r="I88" s="48">
        <v>0</v>
      </c>
      <c r="J88" s="48">
        <v>3.32</v>
      </c>
      <c r="K88" s="7" t="s">
        <v>104</v>
      </c>
      <c r="L88" s="7" t="s">
        <v>103</v>
      </c>
      <c r="M88" s="7" t="s">
        <v>166</v>
      </c>
      <c r="N88" s="7" t="s">
        <v>117</v>
      </c>
    </row>
    <row r="89" spans="1:14" x14ac:dyDescent="0.25">
      <c r="A89" s="7" t="s">
        <v>339</v>
      </c>
      <c r="B89" s="7" t="s">
        <v>339</v>
      </c>
      <c r="C89" s="7" t="s">
        <v>163</v>
      </c>
      <c r="D89" s="7" t="s">
        <v>176</v>
      </c>
      <c r="E89" s="7" t="s">
        <v>340</v>
      </c>
      <c r="F89" s="48">
        <v>0</v>
      </c>
      <c r="G89" s="48">
        <v>0</v>
      </c>
      <c r="H89" s="48">
        <v>0</v>
      </c>
      <c r="I89" s="48">
        <v>0</v>
      </c>
      <c r="J89" s="48">
        <v>7.14</v>
      </c>
      <c r="K89" s="7" t="s">
        <v>104</v>
      </c>
      <c r="L89" s="7" t="s">
        <v>103</v>
      </c>
      <c r="M89" s="7" t="s">
        <v>166</v>
      </c>
      <c r="N89" s="7" t="s">
        <v>117</v>
      </c>
    </row>
    <row r="90" spans="1:14" x14ac:dyDescent="0.25">
      <c r="A90" s="7" t="s">
        <v>341</v>
      </c>
      <c r="B90" s="7" t="s">
        <v>341</v>
      </c>
      <c r="C90" s="7" t="s">
        <v>163</v>
      </c>
      <c r="D90" s="7" t="s">
        <v>176</v>
      </c>
      <c r="E90" s="7" t="s">
        <v>342</v>
      </c>
      <c r="F90" s="48">
        <v>0</v>
      </c>
      <c r="G90" s="48">
        <v>0</v>
      </c>
      <c r="H90" s="48">
        <v>0</v>
      </c>
      <c r="I90" s="48">
        <v>0</v>
      </c>
      <c r="J90" s="48">
        <v>7.14</v>
      </c>
      <c r="K90" s="7" t="s">
        <v>104</v>
      </c>
      <c r="L90" s="7" t="s">
        <v>103</v>
      </c>
      <c r="M90" s="7" t="s">
        <v>166</v>
      </c>
      <c r="N90" s="7" t="s">
        <v>117</v>
      </c>
    </row>
    <row r="91" spans="1:14" x14ac:dyDescent="0.25">
      <c r="A91" s="7" t="s">
        <v>343</v>
      </c>
      <c r="B91" s="7" t="s">
        <v>343</v>
      </c>
      <c r="C91" s="7" t="s">
        <v>163</v>
      </c>
      <c r="D91" s="7" t="s">
        <v>176</v>
      </c>
      <c r="E91" s="7" t="s">
        <v>344</v>
      </c>
      <c r="F91" s="48">
        <v>0</v>
      </c>
      <c r="G91" s="48">
        <v>0</v>
      </c>
      <c r="H91" s="48">
        <v>0</v>
      </c>
      <c r="I91" s="48">
        <v>0</v>
      </c>
      <c r="J91" s="48">
        <v>7.82</v>
      </c>
      <c r="K91" s="7" t="s">
        <v>104</v>
      </c>
      <c r="L91" s="7" t="s">
        <v>103</v>
      </c>
      <c r="M91" s="7" t="s">
        <v>166</v>
      </c>
      <c r="N91" s="7" t="s">
        <v>117</v>
      </c>
    </row>
    <row r="92" spans="1:14" x14ac:dyDescent="0.25">
      <c r="A92" s="7" t="s">
        <v>345</v>
      </c>
      <c r="B92" s="7" t="s">
        <v>345</v>
      </c>
      <c r="C92" s="7" t="s">
        <v>163</v>
      </c>
      <c r="D92" s="7" t="s">
        <v>176</v>
      </c>
      <c r="E92" s="7" t="s">
        <v>346</v>
      </c>
      <c r="F92" s="48">
        <v>0</v>
      </c>
      <c r="G92" s="48">
        <v>0</v>
      </c>
      <c r="H92" s="48">
        <v>0</v>
      </c>
      <c r="I92" s="48">
        <v>0</v>
      </c>
      <c r="J92" s="48">
        <v>7.14</v>
      </c>
      <c r="K92" s="7" t="s">
        <v>104</v>
      </c>
      <c r="L92" s="7" t="s">
        <v>103</v>
      </c>
      <c r="M92" s="7" t="s">
        <v>166</v>
      </c>
      <c r="N92" s="7" t="s">
        <v>117</v>
      </c>
    </row>
    <row r="93" spans="1:14" x14ac:dyDescent="0.25">
      <c r="A93" s="7" t="s">
        <v>347</v>
      </c>
      <c r="B93" s="7" t="s">
        <v>347</v>
      </c>
      <c r="C93" s="7" t="s">
        <v>163</v>
      </c>
      <c r="D93" s="7" t="s">
        <v>176</v>
      </c>
      <c r="E93" s="7" t="s">
        <v>348</v>
      </c>
      <c r="F93" s="48">
        <v>0</v>
      </c>
      <c r="G93" s="48">
        <v>0</v>
      </c>
      <c r="H93" s="48">
        <v>0</v>
      </c>
      <c r="I93" s="48">
        <v>0</v>
      </c>
      <c r="J93" s="48">
        <v>3.91</v>
      </c>
      <c r="K93" s="7" t="s">
        <v>104</v>
      </c>
      <c r="L93" s="7" t="s">
        <v>103</v>
      </c>
      <c r="M93" s="7" t="s">
        <v>166</v>
      </c>
      <c r="N93" s="7" t="s">
        <v>117</v>
      </c>
    </row>
    <row r="94" spans="1:14" x14ac:dyDescent="0.25">
      <c r="A94" s="7" t="s">
        <v>349</v>
      </c>
      <c r="B94" s="7" t="s">
        <v>349</v>
      </c>
      <c r="C94" s="7" t="s">
        <v>163</v>
      </c>
      <c r="D94" s="7" t="s">
        <v>176</v>
      </c>
      <c r="E94" s="7" t="s">
        <v>350</v>
      </c>
      <c r="F94" s="48">
        <v>0</v>
      </c>
      <c r="G94" s="48">
        <v>0</v>
      </c>
      <c r="H94" s="48">
        <v>0</v>
      </c>
      <c r="I94" s="48">
        <v>0</v>
      </c>
      <c r="J94" s="48">
        <v>3.91</v>
      </c>
      <c r="K94" s="7" t="s">
        <v>104</v>
      </c>
      <c r="L94" s="7" t="s">
        <v>103</v>
      </c>
      <c r="M94" s="7" t="s">
        <v>166</v>
      </c>
      <c r="N94" s="7" t="s">
        <v>117</v>
      </c>
    </row>
    <row r="95" spans="1:14" x14ac:dyDescent="0.25">
      <c r="A95" s="7" t="s">
        <v>351</v>
      </c>
      <c r="B95" s="7" t="s">
        <v>351</v>
      </c>
      <c r="C95" s="7" t="s">
        <v>163</v>
      </c>
      <c r="D95" s="7" t="s">
        <v>176</v>
      </c>
      <c r="E95" s="7" t="s">
        <v>352</v>
      </c>
      <c r="F95" s="48">
        <v>0</v>
      </c>
      <c r="G95" s="48">
        <v>0</v>
      </c>
      <c r="H95" s="48">
        <v>0</v>
      </c>
      <c r="I95" s="48">
        <v>0</v>
      </c>
      <c r="J95" s="48">
        <v>3.91</v>
      </c>
      <c r="K95" s="7" t="s">
        <v>104</v>
      </c>
      <c r="L95" s="7" t="s">
        <v>103</v>
      </c>
      <c r="M95" s="7" t="s">
        <v>166</v>
      </c>
      <c r="N95" s="7" t="s">
        <v>117</v>
      </c>
    </row>
    <row r="96" spans="1:14" x14ac:dyDescent="0.25">
      <c r="A96" s="7" t="s">
        <v>353</v>
      </c>
      <c r="B96" s="7" t="s">
        <v>353</v>
      </c>
      <c r="C96" s="7" t="s">
        <v>163</v>
      </c>
      <c r="D96" s="7" t="s">
        <v>176</v>
      </c>
      <c r="E96" s="7" t="s">
        <v>354</v>
      </c>
      <c r="F96" s="48">
        <v>0</v>
      </c>
      <c r="G96" s="48">
        <v>0</v>
      </c>
      <c r="H96" s="48">
        <v>0</v>
      </c>
      <c r="I96" s="48">
        <v>0</v>
      </c>
      <c r="J96" s="48">
        <v>4.34</v>
      </c>
      <c r="K96" s="7" t="s">
        <v>104</v>
      </c>
      <c r="L96" s="7" t="s">
        <v>103</v>
      </c>
      <c r="M96" s="7" t="s">
        <v>166</v>
      </c>
      <c r="N96" s="7" t="s">
        <v>117</v>
      </c>
    </row>
    <row r="97" spans="1:14" x14ac:dyDescent="0.25">
      <c r="A97" s="7" t="s">
        <v>355</v>
      </c>
      <c r="B97" s="7" t="s">
        <v>355</v>
      </c>
      <c r="C97" s="7" t="s">
        <v>163</v>
      </c>
      <c r="D97" s="7" t="s">
        <v>176</v>
      </c>
      <c r="E97" s="7" t="s">
        <v>356</v>
      </c>
      <c r="F97" s="48">
        <v>0</v>
      </c>
      <c r="G97" s="48">
        <v>0</v>
      </c>
      <c r="H97" s="48">
        <v>0</v>
      </c>
      <c r="I97" s="48">
        <v>0</v>
      </c>
      <c r="J97" s="48">
        <v>4.34</v>
      </c>
      <c r="K97" s="7" t="s">
        <v>104</v>
      </c>
      <c r="L97" s="7" t="s">
        <v>103</v>
      </c>
      <c r="M97" s="7" t="s">
        <v>166</v>
      </c>
      <c r="N97" s="7" t="s">
        <v>117</v>
      </c>
    </row>
    <row r="98" spans="1:14" x14ac:dyDescent="0.25">
      <c r="A98" s="7" t="s">
        <v>357</v>
      </c>
      <c r="B98" s="7" t="s">
        <v>357</v>
      </c>
      <c r="C98" s="7" t="s">
        <v>163</v>
      </c>
      <c r="D98" s="7" t="s">
        <v>176</v>
      </c>
      <c r="E98" s="7" t="s">
        <v>358</v>
      </c>
      <c r="F98" s="48">
        <v>0</v>
      </c>
      <c r="G98" s="48">
        <v>0</v>
      </c>
      <c r="H98" s="48">
        <v>0</v>
      </c>
      <c r="I98" s="48">
        <v>0</v>
      </c>
      <c r="J98" s="48">
        <v>4.34</v>
      </c>
      <c r="K98" s="7" t="s">
        <v>104</v>
      </c>
      <c r="L98" s="7" t="s">
        <v>103</v>
      </c>
      <c r="M98" s="7" t="s">
        <v>166</v>
      </c>
      <c r="N98" s="7" t="s">
        <v>117</v>
      </c>
    </row>
    <row r="99" spans="1:14" x14ac:dyDescent="0.25">
      <c r="A99" s="7" t="s">
        <v>181</v>
      </c>
      <c r="B99" s="7" t="s">
        <v>181</v>
      </c>
      <c r="C99" s="7" t="s">
        <v>163</v>
      </c>
      <c r="D99" s="7" t="s">
        <v>179</v>
      </c>
      <c r="E99" s="7" t="s">
        <v>359</v>
      </c>
      <c r="F99" s="48">
        <v>0</v>
      </c>
      <c r="G99" s="48">
        <v>0</v>
      </c>
      <c r="H99" s="48">
        <v>0</v>
      </c>
      <c r="I99" s="48">
        <v>0</v>
      </c>
      <c r="J99" s="48">
        <v>0.85</v>
      </c>
      <c r="K99" s="7" t="s">
        <v>104</v>
      </c>
      <c r="L99" s="7" t="s">
        <v>103</v>
      </c>
      <c r="M99" s="7" t="s">
        <v>166</v>
      </c>
      <c r="N99" s="7" t="s">
        <v>117</v>
      </c>
    </row>
    <row r="100" spans="1:14" x14ac:dyDescent="0.25">
      <c r="A100" s="7" t="s">
        <v>178</v>
      </c>
      <c r="B100" s="7" t="s">
        <v>178</v>
      </c>
      <c r="C100" s="7" t="s">
        <v>163</v>
      </c>
      <c r="D100" s="7" t="s">
        <v>179</v>
      </c>
      <c r="E100" s="7" t="s">
        <v>360</v>
      </c>
      <c r="F100" s="48">
        <v>0</v>
      </c>
      <c r="G100" s="48">
        <v>0</v>
      </c>
      <c r="H100" s="48">
        <v>0</v>
      </c>
      <c r="I100" s="48">
        <v>0</v>
      </c>
      <c r="J100" s="48">
        <v>1.7</v>
      </c>
      <c r="K100" s="7" t="s">
        <v>104</v>
      </c>
      <c r="L100" s="7" t="s">
        <v>103</v>
      </c>
      <c r="M100" s="7" t="s">
        <v>166</v>
      </c>
      <c r="N100" s="7" t="s">
        <v>117</v>
      </c>
    </row>
    <row r="101" spans="1:14" x14ac:dyDescent="0.25">
      <c r="A101" s="7" t="s">
        <v>189</v>
      </c>
      <c r="B101" s="7" t="s">
        <v>189</v>
      </c>
      <c r="C101" s="7" t="s">
        <v>163</v>
      </c>
      <c r="D101" s="7" t="s">
        <v>179</v>
      </c>
      <c r="E101" s="7" t="s">
        <v>361</v>
      </c>
      <c r="F101" s="48">
        <v>0</v>
      </c>
      <c r="G101" s="48">
        <v>0</v>
      </c>
      <c r="H101" s="48">
        <v>0</v>
      </c>
      <c r="I101" s="48">
        <v>0</v>
      </c>
      <c r="J101" s="48">
        <v>0.85</v>
      </c>
      <c r="K101" s="7" t="s">
        <v>104</v>
      </c>
      <c r="L101" s="7" t="s">
        <v>103</v>
      </c>
      <c r="M101" s="7" t="s">
        <v>166</v>
      </c>
      <c r="N101" s="7" t="s">
        <v>117</v>
      </c>
    </row>
    <row r="102" spans="1:14" x14ac:dyDescent="0.25">
      <c r="A102" s="7" t="s">
        <v>187</v>
      </c>
      <c r="B102" s="7" t="s">
        <v>187</v>
      </c>
      <c r="C102" s="7" t="s">
        <v>163</v>
      </c>
      <c r="D102" s="7" t="s">
        <v>179</v>
      </c>
      <c r="E102" s="7" t="s">
        <v>362</v>
      </c>
      <c r="F102" s="48">
        <v>0</v>
      </c>
      <c r="G102" s="48">
        <v>0</v>
      </c>
      <c r="H102" s="48">
        <v>0</v>
      </c>
      <c r="I102" s="48">
        <v>0</v>
      </c>
      <c r="J102" s="48">
        <v>0.85</v>
      </c>
      <c r="K102" s="7" t="s">
        <v>104</v>
      </c>
      <c r="L102" s="7" t="s">
        <v>103</v>
      </c>
      <c r="M102" s="7" t="s">
        <v>166</v>
      </c>
      <c r="N102" s="7" t="s">
        <v>117</v>
      </c>
    </row>
    <row r="103" spans="1:14" x14ac:dyDescent="0.25">
      <c r="A103" s="7" t="s">
        <v>363</v>
      </c>
      <c r="B103" s="7" t="s">
        <v>363</v>
      </c>
      <c r="C103" s="7" t="s">
        <v>163</v>
      </c>
      <c r="D103" s="7" t="s">
        <v>364</v>
      </c>
      <c r="E103" s="7" t="s">
        <v>365</v>
      </c>
      <c r="F103" s="48">
        <v>0</v>
      </c>
      <c r="G103" s="48">
        <v>0</v>
      </c>
      <c r="H103" s="48">
        <v>0</v>
      </c>
      <c r="I103" s="48">
        <v>0</v>
      </c>
      <c r="J103" s="48">
        <v>0.38</v>
      </c>
      <c r="K103" s="7" t="s">
        <v>104</v>
      </c>
      <c r="L103" s="7" t="s">
        <v>103</v>
      </c>
      <c r="M103" s="7" t="s">
        <v>166</v>
      </c>
      <c r="N103" s="7" t="s">
        <v>117</v>
      </c>
    </row>
    <row r="104" spans="1:14" x14ac:dyDescent="0.25">
      <c r="A104" s="7" t="s">
        <v>366</v>
      </c>
      <c r="B104" s="7" t="s">
        <v>366</v>
      </c>
      <c r="C104" s="7" t="s">
        <v>163</v>
      </c>
      <c r="D104" s="7" t="s">
        <v>364</v>
      </c>
      <c r="E104" s="7" t="s">
        <v>367</v>
      </c>
      <c r="F104" s="48">
        <v>0</v>
      </c>
      <c r="G104" s="48">
        <v>0</v>
      </c>
      <c r="H104" s="48">
        <v>0</v>
      </c>
      <c r="I104" s="48">
        <v>0</v>
      </c>
      <c r="J104" s="48">
        <v>0.38</v>
      </c>
      <c r="K104" s="7" t="s">
        <v>104</v>
      </c>
      <c r="L104" s="7" t="s">
        <v>103</v>
      </c>
      <c r="M104" s="7" t="s">
        <v>166</v>
      </c>
      <c r="N104" s="7" t="s">
        <v>117</v>
      </c>
    </row>
    <row r="105" spans="1:14" x14ac:dyDescent="0.25">
      <c r="A105" s="7" t="s">
        <v>368</v>
      </c>
      <c r="B105" s="7" t="s">
        <v>368</v>
      </c>
      <c r="C105" s="7" t="s">
        <v>163</v>
      </c>
      <c r="D105" s="7" t="s">
        <v>364</v>
      </c>
      <c r="E105" s="7" t="s">
        <v>369</v>
      </c>
      <c r="F105" s="48">
        <v>0</v>
      </c>
      <c r="G105" s="48">
        <v>0</v>
      </c>
      <c r="H105" s="48">
        <v>0</v>
      </c>
      <c r="I105" s="48">
        <v>0</v>
      </c>
      <c r="J105" s="48">
        <v>0.38</v>
      </c>
      <c r="K105" s="7" t="s">
        <v>104</v>
      </c>
      <c r="L105" s="7" t="s">
        <v>103</v>
      </c>
      <c r="M105" s="7" t="s">
        <v>166</v>
      </c>
      <c r="N105" s="7" t="s">
        <v>117</v>
      </c>
    </row>
    <row r="106" spans="1:14" x14ac:dyDescent="0.25">
      <c r="A106" s="7" t="s">
        <v>370</v>
      </c>
      <c r="B106" s="7" t="s">
        <v>370</v>
      </c>
      <c r="C106" s="7" t="s">
        <v>163</v>
      </c>
      <c r="D106" s="7" t="s">
        <v>364</v>
      </c>
      <c r="E106" s="7" t="s">
        <v>371</v>
      </c>
      <c r="F106" s="48">
        <v>0</v>
      </c>
      <c r="G106" s="48">
        <v>0</v>
      </c>
      <c r="H106" s="48">
        <v>0</v>
      </c>
      <c r="I106" s="48">
        <v>0</v>
      </c>
      <c r="J106" s="48">
        <v>0.38</v>
      </c>
      <c r="K106" s="7" t="s">
        <v>104</v>
      </c>
      <c r="L106" s="7" t="s">
        <v>103</v>
      </c>
      <c r="M106" s="7" t="s">
        <v>166</v>
      </c>
      <c r="N106" s="7" t="s">
        <v>117</v>
      </c>
    </row>
    <row r="107" spans="1:14" x14ac:dyDescent="0.25">
      <c r="A107" s="7" t="s">
        <v>372</v>
      </c>
      <c r="B107" s="7" t="s">
        <v>372</v>
      </c>
      <c r="C107" s="7" t="s">
        <v>163</v>
      </c>
      <c r="D107" s="7" t="s">
        <v>364</v>
      </c>
      <c r="E107" s="7" t="s">
        <v>373</v>
      </c>
      <c r="F107" s="48">
        <v>0</v>
      </c>
      <c r="G107" s="48">
        <v>0</v>
      </c>
      <c r="H107" s="48">
        <v>0</v>
      </c>
      <c r="I107" s="48">
        <v>0</v>
      </c>
      <c r="J107" s="48">
        <v>0.38</v>
      </c>
      <c r="K107" s="7" t="s">
        <v>104</v>
      </c>
      <c r="L107" s="7" t="s">
        <v>103</v>
      </c>
      <c r="M107" s="7" t="s">
        <v>166</v>
      </c>
      <c r="N107" s="7" t="s">
        <v>117</v>
      </c>
    </row>
    <row r="108" spans="1:14" x14ac:dyDescent="0.25">
      <c r="A108" s="7" t="s">
        <v>374</v>
      </c>
      <c r="B108" s="7" t="s">
        <v>374</v>
      </c>
      <c r="C108" s="7" t="s">
        <v>163</v>
      </c>
      <c r="D108" s="7" t="s">
        <v>364</v>
      </c>
      <c r="E108" s="7" t="s">
        <v>375</v>
      </c>
      <c r="F108" s="48">
        <v>0</v>
      </c>
      <c r="G108" s="48">
        <v>0</v>
      </c>
      <c r="H108" s="48">
        <v>0</v>
      </c>
      <c r="I108" s="48">
        <v>0</v>
      </c>
      <c r="J108" s="48">
        <v>0.38</v>
      </c>
      <c r="K108" s="7" t="s">
        <v>104</v>
      </c>
      <c r="L108" s="7" t="s">
        <v>103</v>
      </c>
      <c r="M108" s="7" t="s">
        <v>166</v>
      </c>
      <c r="N108" s="7" t="s">
        <v>117</v>
      </c>
    </row>
    <row r="109" spans="1:14" x14ac:dyDescent="0.25">
      <c r="A109" s="7" t="s">
        <v>376</v>
      </c>
      <c r="B109" s="7" t="s">
        <v>376</v>
      </c>
      <c r="C109" s="7" t="s">
        <v>163</v>
      </c>
      <c r="D109" s="7" t="s">
        <v>364</v>
      </c>
      <c r="E109" s="7" t="s">
        <v>377</v>
      </c>
      <c r="F109" s="48">
        <v>0</v>
      </c>
      <c r="G109" s="48">
        <v>0</v>
      </c>
      <c r="H109" s="48">
        <v>0</v>
      </c>
      <c r="I109" s="48">
        <v>0</v>
      </c>
      <c r="J109" s="48">
        <v>0.38</v>
      </c>
      <c r="K109" s="7" t="s">
        <v>104</v>
      </c>
      <c r="L109" s="7" t="s">
        <v>103</v>
      </c>
      <c r="M109" s="7" t="s">
        <v>166</v>
      </c>
      <c r="N109" s="7" t="s">
        <v>117</v>
      </c>
    </row>
    <row r="110" spans="1:14" x14ac:dyDescent="0.25">
      <c r="A110" s="7" t="s">
        <v>378</v>
      </c>
      <c r="B110" s="7" t="s">
        <v>378</v>
      </c>
      <c r="C110" s="7" t="s">
        <v>163</v>
      </c>
      <c r="D110" s="7" t="s">
        <v>364</v>
      </c>
      <c r="E110" s="7" t="s">
        <v>379</v>
      </c>
      <c r="F110" s="48">
        <v>0</v>
      </c>
      <c r="G110" s="48">
        <v>0</v>
      </c>
      <c r="H110" s="48">
        <v>0</v>
      </c>
      <c r="I110" s="48">
        <v>0</v>
      </c>
      <c r="J110" s="48">
        <v>0.38</v>
      </c>
      <c r="K110" s="7" t="s">
        <v>104</v>
      </c>
      <c r="L110" s="7" t="s">
        <v>103</v>
      </c>
      <c r="M110" s="7" t="s">
        <v>166</v>
      </c>
      <c r="N110" s="7" t="s">
        <v>117</v>
      </c>
    </row>
    <row r="111" spans="1:14" x14ac:dyDescent="0.25">
      <c r="A111" s="7" t="s">
        <v>380</v>
      </c>
      <c r="B111" s="7" t="s">
        <v>380</v>
      </c>
      <c r="C111" s="7" t="s">
        <v>163</v>
      </c>
      <c r="D111" s="7" t="s">
        <v>364</v>
      </c>
      <c r="E111" s="7" t="s">
        <v>381</v>
      </c>
      <c r="F111" s="48">
        <v>0</v>
      </c>
      <c r="G111" s="48">
        <v>0</v>
      </c>
      <c r="H111" s="48">
        <v>0</v>
      </c>
      <c r="I111" s="48">
        <v>0</v>
      </c>
      <c r="J111" s="48">
        <v>0.38</v>
      </c>
      <c r="K111" s="7" t="s">
        <v>104</v>
      </c>
      <c r="L111" s="7" t="s">
        <v>103</v>
      </c>
      <c r="M111" s="7" t="s">
        <v>166</v>
      </c>
      <c r="N111" s="7" t="s">
        <v>117</v>
      </c>
    </row>
    <row r="112" spans="1:14" x14ac:dyDescent="0.25">
      <c r="A112" s="7" t="s">
        <v>382</v>
      </c>
      <c r="B112" s="7" t="s">
        <v>382</v>
      </c>
      <c r="C112" s="7" t="s">
        <v>163</v>
      </c>
      <c r="D112" s="7" t="s">
        <v>364</v>
      </c>
      <c r="E112" s="7" t="s">
        <v>383</v>
      </c>
      <c r="F112" s="48">
        <v>0</v>
      </c>
      <c r="G112" s="48">
        <v>0</v>
      </c>
      <c r="H112" s="48">
        <v>0</v>
      </c>
      <c r="I112" s="48">
        <v>0</v>
      </c>
      <c r="J112" s="48">
        <v>0.38</v>
      </c>
      <c r="K112" s="7" t="s">
        <v>104</v>
      </c>
      <c r="L112" s="7" t="s">
        <v>103</v>
      </c>
      <c r="M112" s="7" t="s">
        <v>166</v>
      </c>
      <c r="N112" s="7" t="s">
        <v>117</v>
      </c>
    </row>
    <row r="113" spans="1:14" x14ac:dyDescent="0.25">
      <c r="A113" s="7" t="s">
        <v>384</v>
      </c>
      <c r="B113" s="7" t="s">
        <v>384</v>
      </c>
      <c r="C113" s="7" t="s">
        <v>163</v>
      </c>
      <c r="D113" s="7" t="s">
        <v>364</v>
      </c>
      <c r="E113" s="7" t="s">
        <v>385</v>
      </c>
      <c r="F113" s="48">
        <v>0</v>
      </c>
      <c r="G113" s="48">
        <v>0</v>
      </c>
      <c r="H113" s="48">
        <v>0</v>
      </c>
      <c r="I113" s="48">
        <v>0</v>
      </c>
      <c r="J113" s="48">
        <v>0.47</v>
      </c>
      <c r="K113" s="7" t="s">
        <v>104</v>
      </c>
      <c r="L113" s="7" t="s">
        <v>103</v>
      </c>
      <c r="M113" s="7" t="s">
        <v>166</v>
      </c>
      <c r="N113" s="7" t="s">
        <v>117</v>
      </c>
    </row>
    <row r="114" spans="1:14" x14ac:dyDescent="0.25">
      <c r="A114" s="7" t="s">
        <v>386</v>
      </c>
      <c r="B114" s="7" t="s">
        <v>386</v>
      </c>
      <c r="C114" s="7" t="s">
        <v>163</v>
      </c>
      <c r="D114" s="7" t="s">
        <v>364</v>
      </c>
      <c r="E114" s="7" t="s">
        <v>387</v>
      </c>
      <c r="F114" s="48">
        <v>0</v>
      </c>
      <c r="G114" s="48">
        <v>0</v>
      </c>
      <c r="H114" s="48">
        <v>0</v>
      </c>
      <c r="I114" s="48">
        <v>0</v>
      </c>
      <c r="J114" s="48">
        <v>0.47</v>
      </c>
      <c r="K114" s="7" t="s">
        <v>104</v>
      </c>
      <c r="L114" s="7" t="s">
        <v>103</v>
      </c>
      <c r="M114" s="7" t="s">
        <v>166</v>
      </c>
      <c r="N114" s="7" t="s">
        <v>117</v>
      </c>
    </row>
    <row r="115" spans="1:14" x14ac:dyDescent="0.25">
      <c r="A115" s="7" t="s">
        <v>388</v>
      </c>
      <c r="B115" s="7" t="s">
        <v>388</v>
      </c>
      <c r="C115" s="7" t="s">
        <v>163</v>
      </c>
      <c r="D115" s="7" t="s">
        <v>364</v>
      </c>
      <c r="E115" s="7" t="s">
        <v>389</v>
      </c>
      <c r="F115" s="48">
        <v>0</v>
      </c>
      <c r="G115" s="48">
        <v>0</v>
      </c>
      <c r="H115" s="48">
        <v>0</v>
      </c>
      <c r="I115" s="48">
        <v>0</v>
      </c>
      <c r="J115" s="48">
        <v>0.38</v>
      </c>
      <c r="K115" s="7" t="s">
        <v>104</v>
      </c>
      <c r="L115" s="7" t="s">
        <v>103</v>
      </c>
      <c r="M115" s="7" t="s">
        <v>166</v>
      </c>
      <c r="N115" s="7" t="s">
        <v>117</v>
      </c>
    </row>
    <row r="116" spans="1:14" x14ac:dyDescent="0.25">
      <c r="A116" s="7" t="s">
        <v>390</v>
      </c>
      <c r="B116" s="7" t="s">
        <v>390</v>
      </c>
      <c r="C116" s="7" t="s">
        <v>163</v>
      </c>
      <c r="D116" s="7" t="s">
        <v>364</v>
      </c>
      <c r="E116" s="7" t="s">
        <v>391</v>
      </c>
      <c r="F116" s="48">
        <v>0</v>
      </c>
      <c r="G116" s="48">
        <v>0</v>
      </c>
      <c r="H116" s="48">
        <v>0</v>
      </c>
      <c r="I116" s="48">
        <v>0</v>
      </c>
      <c r="J116" s="48">
        <v>0.47</v>
      </c>
      <c r="K116" s="7" t="s">
        <v>104</v>
      </c>
      <c r="L116" s="7" t="s">
        <v>103</v>
      </c>
      <c r="M116" s="7" t="s">
        <v>166</v>
      </c>
      <c r="N116" s="7" t="s">
        <v>117</v>
      </c>
    </row>
    <row r="117" spans="1:14" x14ac:dyDescent="0.25">
      <c r="A117" s="7" t="s">
        <v>392</v>
      </c>
      <c r="B117" s="7" t="s">
        <v>392</v>
      </c>
      <c r="C117" s="7" t="s">
        <v>163</v>
      </c>
      <c r="D117" s="7" t="s">
        <v>364</v>
      </c>
      <c r="E117" s="7" t="s">
        <v>393</v>
      </c>
      <c r="F117" s="48">
        <v>0</v>
      </c>
      <c r="G117" s="48">
        <v>0</v>
      </c>
      <c r="H117" s="48">
        <v>0</v>
      </c>
      <c r="I117" s="48">
        <v>0</v>
      </c>
      <c r="J117" s="48">
        <v>0.47</v>
      </c>
      <c r="K117" s="7" t="s">
        <v>104</v>
      </c>
      <c r="L117" s="7" t="s">
        <v>103</v>
      </c>
      <c r="M117" s="7" t="s">
        <v>166</v>
      </c>
      <c r="N117" s="7" t="s">
        <v>117</v>
      </c>
    </row>
    <row r="118" spans="1:14" x14ac:dyDescent="0.25">
      <c r="A118" s="7" t="s">
        <v>394</v>
      </c>
      <c r="B118" s="7" t="s">
        <v>394</v>
      </c>
      <c r="C118" s="7" t="s">
        <v>163</v>
      </c>
      <c r="D118" s="7" t="s">
        <v>395</v>
      </c>
      <c r="E118" s="7" t="s">
        <v>396</v>
      </c>
      <c r="F118" s="48">
        <v>0</v>
      </c>
      <c r="G118" s="48">
        <v>0</v>
      </c>
      <c r="H118" s="48">
        <v>0</v>
      </c>
      <c r="I118" s="48">
        <v>0</v>
      </c>
      <c r="J118" s="48">
        <v>10.71</v>
      </c>
      <c r="K118" s="7" t="s">
        <v>104</v>
      </c>
      <c r="L118" s="7" t="s">
        <v>103</v>
      </c>
      <c r="M118" s="7" t="s">
        <v>166</v>
      </c>
      <c r="N118" s="7" t="s">
        <v>117</v>
      </c>
    </row>
    <row r="119" spans="1:14" x14ac:dyDescent="0.25">
      <c r="A119" s="7" t="s">
        <v>397</v>
      </c>
      <c r="B119" s="7" t="s">
        <v>397</v>
      </c>
      <c r="C119" s="7" t="s">
        <v>163</v>
      </c>
      <c r="D119" s="7" t="s">
        <v>395</v>
      </c>
      <c r="E119" s="7" t="s">
        <v>398</v>
      </c>
      <c r="F119" s="48">
        <v>0</v>
      </c>
      <c r="G119" s="48">
        <v>0</v>
      </c>
      <c r="H119" s="48">
        <v>0</v>
      </c>
      <c r="I119" s="48">
        <v>0</v>
      </c>
      <c r="J119" s="48">
        <v>10.71</v>
      </c>
      <c r="K119" s="7" t="s">
        <v>104</v>
      </c>
      <c r="L119" s="7" t="s">
        <v>103</v>
      </c>
      <c r="M119" s="7" t="s">
        <v>166</v>
      </c>
      <c r="N119" s="7" t="s">
        <v>117</v>
      </c>
    </row>
    <row r="120" spans="1:14" x14ac:dyDescent="0.25">
      <c r="A120" s="7" t="s">
        <v>399</v>
      </c>
      <c r="B120" s="7" t="s">
        <v>399</v>
      </c>
      <c r="C120" s="7" t="s">
        <v>163</v>
      </c>
      <c r="D120" s="7" t="s">
        <v>395</v>
      </c>
      <c r="E120" s="7" t="s">
        <v>400</v>
      </c>
      <c r="F120" s="48">
        <v>0</v>
      </c>
      <c r="G120" s="48">
        <v>0</v>
      </c>
      <c r="H120" s="48">
        <v>0</v>
      </c>
      <c r="I120" s="48">
        <v>0</v>
      </c>
      <c r="J120" s="48">
        <v>10.42</v>
      </c>
      <c r="K120" s="7" t="s">
        <v>104</v>
      </c>
      <c r="L120" s="7" t="s">
        <v>103</v>
      </c>
      <c r="M120" s="7" t="s">
        <v>166</v>
      </c>
      <c r="N120" s="7" t="s">
        <v>117</v>
      </c>
    </row>
    <row r="121" spans="1:14" x14ac:dyDescent="0.25">
      <c r="A121" s="7" t="s">
        <v>401</v>
      </c>
      <c r="B121" s="7" t="s">
        <v>401</v>
      </c>
      <c r="C121" s="7" t="s">
        <v>163</v>
      </c>
      <c r="D121" s="7" t="s">
        <v>395</v>
      </c>
      <c r="E121" s="7" t="s">
        <v>402</v>
      </c>
      <c r="F121" s="48">
        <v>0</v>
      </c>
      <c r="G121" s="48">
        <v>0</v>
      </c>
      <c r="H121" s="48">
        <v>0</v>
      </c>
      <c r="I121" s="48">
        <v>0</v>
      </c>
      <c r="J121" s="48">
        <v>10.42</v>
      </c>
      <c r="K121" s="7" t="s">
        <v>104</v>
      </c>
      <c r="L121" s="7" t="s">
        <v>103</v>
      </c>
      <c r="M121" s="7" t="s">
        <v>166</v>
      </c>
      <c r="N121" s="7" t="s">
        <v>117</v>
      </c>
    </row>
    <row r="122" spans="1:14" x14ac:dyDescent="0.25">
      <c r="A122" s="7" t="s">
        <v>403</v>
      </c>
      <c r="B122" s="7" t="s">
        <v>403</v>
      </c>
      <c r="C122" s="7" t="s">
        <v>163</v>
      </c>
      <c r="D122" s="7" t="s">
        <v>404</v>
      </c>
      <c r="E122" s="7" t="s">
        <v>405</v>
      </c>
      <c r="F122" s="48">
        <v>0</v>
      </c>
      <c r="G122" s="48">
        <v>0</v>
      </c>
      <c r="H122" s="48">
        <v>0</v>
      </c>
      <c r="I122" s="48">
        <v>0</v>
      </c>
      <c r="J122" s="48">
        <v>0.97</v>
      </c>
      <c r="K122" s="7" t="s">
        <v>104</v>
      </c>
      <c r="L122" s="7" t="s">
        <v>103</v>
      </c>
      <c r="M122" s="7" t="s">
        <v>166</v>
      </c>
      <c r="N122" s="7" t="s">
        <v>117</v>
      </c>
    </row>
    <row r="123" spans="1:14" x14ac:dyDescent="0.25">
      <c r="A123" s="7" t="s">
        <v>406</v>
      </c>
      <c r="B123" s="7" t="s">
        <v>406</v>
      </c>
      <c r="C123" s="7" t="s">
        <v>163</v>
      </c>
      <c r="D123" s="7" t="s">
        <v>404</v>
      </c>
      <c r="E123" s="7" t="s">
        <v>407</v>
      </c>
      <c r="F123" s="48">
        <v>0</v>
      </c>
      <c r="G123" s="48">
        <v>0</v>
      </c>
      <c r="H123" s="48">
        <v>0</v>
      </c>
      <c r="I123" s="48">
        <v>0</v>
      </c>
      <c r="J123" s="48">
        <v>8.2200000000000006</v>
      </c>
      <c r="K123" s="7" t="s">
        <v>104</v>
      </c>
      <c r="L123" s="7" t="s">
        <v>103</v>
      </c>
      <c r="M123" s="7" t="s">
        <v>166</v>
      </c>
      <c r="N123" s="7" t="s">
        <v>117</v>
      </c>
    </row>
    <row r="124" spans="1:14" x14ac:dyDescent="0.25">
      <c r="A124" s="7" t="s">
        <v>408</v>
      </c>
      <c r="B124" s="7" t="s">
        <v>408</v>
      </c>
      <c r="C124" s="7" t="s">
        <v>163</v>
      </c>
      <c r="D124" s="7" t="s">
        <v>404</v>
      </c>
      <c r="E124" s="7" t="s">
        <v>409</v>
      </c>
      <c r="F124" s="48">
        <v>0</v>
      </c>
      <c r="G124" s="48">
        <v>0</v>
      </c>
      <c r="H124" s="48">
        <v>0</v>
      </c>
      <c r="I124" s="48">
        <v>0</v>
      </c>
      <c r="J124" s="48">
        <v>13.05</v>
      </c>
      <c r="K124" s="7" t="s">
        <v>104</v>
      </c>
      <c r="L124" s="7" t="s">
        <v>103</v>
      </c>
      <c r="M124" s="7" t="s">
        <v>166</v>
      </c>
      <c r="N124" s="7" t="s">
        <v>117</v>
      </c>
    </row>
    <row r="125" spans="1:14" x14ac:dyDescent="0.25">
      <c r="A125" s="7" t="s">
        <v>410</v>
      </c>
      <c r="B125" s="7" t="s">
        <v>410</v>
      </c>
      <c r="C125" s="7" t="s">
        <v>163</v>
      </c>
      <c r="D125" s="7" t="s">
        <v>364</v>
      </c>
      <c r="E125" s="7" t="s">
        <v>411</v>
      </c>
      <c r="F125" s="48">
        <v>0</v>
      </c>
      <c r="G125" s="48">
        <v>0</v>
      </c>
      <c r="H125" s="48">
        <v>0</v>
      </c>
      <c r="I125" s="48">
        <v>0</v>
      </c>
      <c r="J125" s="48">
        <v>0.38</v>
      </c>
      <c r="K125" s="7" t="s">
        <v>104</v>
      </c>
      <c r="L125" s="7" t="s">
        <v>103</v>
      </c>
      <c r="M125" s="7" t="s">
        <v>166</v>
      </c>
      <c r="N125" s="7" t="s">
        <v>117</v>
      </c>
    </row>
    <row r="126" spans="1:14" x14ac:dyDescent="0.25">
      <c r="A126" s="7" t="s">
        <v>412</v>
      </c>
      <c r="B126" s="7" t="s">
        <v>412</v>
      </c>
      <c r="C126" s="7" t="s">
        <v>163</v>
      </c>
      <c r="D126" s="7" t="s">
        <v>176</v>
      </c>
      <c r="E126" s="7" t="s">
        <v>413</v>
      </c>
      <c r="F126" s="48">
        <v>0</v>
      </c>
      <c r="G126" s="48">
        <v>0</v>
      </c>
      <c r="H126" s="48">
        <v>0</v>
      </c>
      <c r="I126" s="48">
        <v>0</v>
      </c>
      <c r="J126" s="48">
        <v>3.06</v>
      </c>
      <c r="K126" s="7" t="s">
        <v>104</v>
      </c>
      <c r="L126" s="7" t="s">
        <v>103</v>
      </c>
      <c r="M126" s="7" t="s">
        <v>166</v>
      </c>
      <c r="N126" s="7" t="s">
        <v>117</v>
      </c>
    </row>
    <row r="127" spans="1:14" x14ac:dyDescent="0.25">
      <c r="A127" s="7" t="s">
        <v>414</v>
      </c>
      <c r="B127" s="7" t="s">
        <v>414</v>
      </c>
      <c r="C127" s="7" t="s">
        <v>163</v>
      </c>
      <c r="D127" s="7" t="s">
        <v>404</v>
      </c>
      <c r="E127" s="7" t="s">
        <v>415</v>
      </c>
      <c r="F127" s="48">
        <v>0</v>
      </c>
      <c r="G127" s="48">
        <v>0</v>
      </c>
      <c r="H127" s="48">
        <v>0</v>
      </c>
      <c r="I127" s="48">
        <v>0</v>
      </c>
      <c r="J127" s="48">
        <v>13.05</v>
      </c>
      <c r="K127" s="7" t="s">
        <v>104</v>
      </c>
      <c r="L127" s="7" t="s">
        <v>103</v>
      </c>
      <c r="M127" s="7" t="s">
        <v>166</v>
      </c>
      <c r="N127" s="7" t="s">
        <v>117</v>
      </c>
    </row>
    <row r="128" spans="1:14" x14ac:dyDescent="0.25">
      <c r="A128" s="7" t="s">
        <v>416</v>
      </c>
      <c r="B128" s="7" t="s">
        <v>416</v>
      </c>
      <c r="C128" s="7" t="s">
        <v>163</v>
      </c>
      <c r="D128" s="7" t="s">
        <v>170</v>
      </c>
      <c r="E128" s="7" t="s">
        <v>417</v>
      </c>
      <c r="F128" s="48">
        <v>0</v>
      </c>
      <c r="G128" s="48">
        <v>0</v>
      </c>
      <c r="H128" s="48">
        <v>0</v>
      </c>
      <c r="I128" s="48">
        <v>0</v>
      </c>
      <c r="J128" s="48">
        <v>5.0999999999999996</v>
      </c>
      <c r="K128" s="7" t="s">
        <v>104</v>
      </c>
      <c r="L128" s="7" t="s">
        <v>103</v>
      </c>
      <c r="M128" s="7" t="s">
        <v>166</v>
      </c>
      <c r="N128" s="7" t="s">
        <v>117</v>
      </c>
    </row>
    <row r="129" spans="1:14" x14ac:dyDescent="0.25">
      <c r="A129" s="7" t="s">
        <v>418</v>
      </c>
      <c r="B129" s="7" t="s">
        <v>418</v>
      </c>
      <c r="C129" s="7" t="s">
        <v>163</v>
      </c>
      <c r="D129" s="7" t="s">
        <v>364</v>
      </c>
      <c r="E129" s="7" t="s">
        <v>419</v>
      </c>
      <c r="F129" s="48">
        <v>0</v>
      </c>
      <c r="G129" s="48">
        <v>0</v>
      </c>
      <c r="H129" s="48">
        <v>0</v>
      </c>
      <c r="I129" s="48">
        <v>0</v>
      </c>
      <c r="J129" s="48">
        <v>1.75</v>
      </c>
      <c r="K129" s="7" t="s">
        <v>104</v>
      </c>
      <c r="L129" s="7" t="s">
        <v>103</v>
      </c>
      <c r="M129" s="7" t="s">
        <v>166</v>
      </c>
      <c r="N129" s="7" t="s">
        <v>117</v>
      </c>
    </row>
    <row r="130" spans="1:14" x14ac:dyDescent="0.25">
      <c r="A130" s="7" t="s">
        <v>420</v>
      </c>
      <c r="B130" s="7" t="s">
        <v>420</v>
      </c>
      <c r="C130" s="7" t="s">
        <v>163</v>
      </c>
      <c r="D130" s="7" t="s">
        <v>176</v>
      </c>
      <c r="E130" s="7" t="s">
        <v>421</v>
      </c>
      <c r="F130" s="48">
        <v>0</v>
      </c>
      <c r="G130" s="48">
        <v>0</v>
      </c>
      <c r="H130" s="48">
        <v>0</v>
      </c>
      <c r="I130" s="48">
        <v>0</v>
      </c>
      <c r="J130" s="48">
        <v>3.06</v>
      </c>
      <c r="K130" s="7" t="s">
        <v>104</v>
      </c>
      <c r="L130" s="7" t="s">
        <v>103</v>
      </c>
      <c r="M130" s="7" t="s">
        <v>166</v>
      </c>
      <c r="N130" s="7" t="s">
        <v>117</v>
      </c>
    </row>
    <row r="131" spans="1:14" x14ac:dyDescent="0.25">
      <c r="A131" s="7" t="s">
        <v>422</v>
      </c>
      <c r="B131" s="7" t="s">
        <v>422</v>
      </c>
      <c r="C131" s="7" t="s">
        <v>163</v>
      </c>
      <c r="D131" s="7" t="s">
        <v>170</v>
      </c>
      <c r="E131" s="7" t="s">
        <v>423</v>
      </c>
      <c r="F131" s="48">
        <v>0</v>
      </c>
      <c r="G131" s="48">
        <v>0</v>
      </c>
      <c r="H131" s="48">
        <v>0</v>
      </c>
      <c r="I131" s="48">
        <v>0</v>
      </c>
      <c r="J131" s="48">
        <v>4.76</v>
      </c>
      <c r="K131" s="7" t="s">
        <v>104</v>
      </c>
      <c r="L131" s="7" t="s">
        <v>103</v>
      </c>
      <c r="M131" s="7" t="s">
        <v>166</v>
      </c>
      <c r="N131" s="7" t="s">
        <v>117</v>
      </c>
    </row>
    <row r="132" spans="1:14" x14ac:dyDescent="0.25">
      <c r="A132" s="7" t="s">
        <v>424</v>
      </c>
      <c r="B132" s="7" t="s">
        <v>424</v>
      </c>
      <c r="C132" s="7" t="s">
        <v>163</v>
      </c>
      <c r="D132" s="7" t="s">
        <v>364</v>
      </c>
      <c r="E132" s="7" t="s">
        <v>425</v>
      </c>
      <c r="F132" s="48">
        <v>0</v>
      </c>
      <c r="G132" s="48">
        <v>0</v>
      </c>
      <c r="H132" s="48">
        <v>0</v>
      </c>
      <c r="I132" s="48">
        <v>0</v>
      </c>
      <c r="J132" s="48">
        <v>1.75</v>
      </c>
      <c r="K132" s="7" t="s">
        <v>104</v>
      </c>
      <c r="L132" s="7" t="s">
        <v>103</v>
      </c>
      <c r="M132" s="7" t="s">
        <v>166</v>
      </c>
      <c r="N132" s="7" t="s">
        <v>117</v>
      </c>
    </row>
    <row r="133" spans="1:14" x14ac:dyDescent="0.25">
      <c r="A133" s="7" t="s">
        <v>426</v>
      </c>
      <c r="B133" s="7" t="s">
        <v>426</v>
      </c>
      <c r="C133" s="7" t="s">
        <v>163</v>
      </c>
      <c r="D133" s="7" t="s">
        <v>176</v>
      </c>
      <c r="E133" s="7" t="s">
        <v>427</v>
      </c>
      <c r="F133" s="48">
        <v>0</v>
      </c>
      <c r="G133" s="48">
        <v>0</v>
      </c>
      <c r="H133" s="48">
        <v>0</v>
      </c>
      <c r="I133" s="48">
        <v>0</v>
      </c>
      <c r="J133" s="48">
        <v>2.64</v>
      </c>
      <c r="K133" s="7" t="s">
        <v>104</v>
      </c>
      <c r="L133" s="7" t="s">
        <v>103</v>
      </c>
      <c r="M133" s="7" t="s">
        <v>166</v>
      </c>
      <c r="N133" s="7" t="s">
        <v>117</v>
      </c>
    </row>
    <row r="134" spans="1:14" x14ac:dyDescent="0.25">
      <c r="A134" s="7" t="s">
        <v>428</v>
      </c>
      <c r="B134" s="7" t="s">
        <v>428</v>
      </c>
      <c r="C134" s="7" t="s">
        <v>163</v>
      </c>
      <c r="D134" s="7" t="s">
        <v>170</v>
      </c>
      <c r="E134" s="7" t="s">
        <v>429</v>
      </c>
      <c r="F134" s="48">
        <v>0</v>
      </c>
      <c r="G134" s="48">
        <v>0</v>
      </c>
      <c r="H134" s="48">
        <v>0</v>
      </c>
      <c r="I134" s="48">
        <v>0</v>
      </c>
      <c r="J134" s="48">
        <v>4.76</v>
      </c>
      <c r="K134" s="7" t="s">
        <v>104</v>
      </c>
      <c r="L134" s="7" t="s">
        <v>103</v>
      </c>
      <c r="M134" s="7" t="s">
        <v>166</v>
      </c>
      <c r="N134" s="7" t="s">
        <v>117</v>
      </c>
    </row>
    <row r="135" spans="1:14" x14ac:dyDescent="0.25">
      <c r="A135" s="7" t="s">
        <v>430</v>
      </c>
      <c r="B135" s="7" t="s">
        <v>430</v>
      </c>
      <c r="C135" s="7" t="s">
        <v>163</v>
      </c>
      <c r="D135" s="7" t="s">
        <v>404</v>
      </c>
      <c r="E135" s="7" t="s">
        <v>431</v>
      </c>
      <c r="F135" s="48">
        <v>0</v>
      </c>
      <c r="G135" s="48">
        <v>0</v>
      </c>
      <c r="H135" s="48">
        <v>0</v>
      </c>
      <c r="I135" s="48">
        <v>0</v>
      </c>
      <c r="J135" s="48">
        <v>18.850000000000001</v>
      </c>
      <c r="K135" s="7" t="s">
        <v>104</v>
      </c>
      <c r="L135" s="7" t="s">
        <v>103</v>
      </c>
      <c r="M135" s="7" t="s">
        <v>166</v>
      </c>
      <c r="N135" s="7" t="s">
        <v>117</v>
      </c>
    </row>
    <row r="136" spans="1:14" x14ac:dyDescent="0.25">
      <c r="A136" s="7" t="s">
        <v>432</v>
      </c>
      <c r="B136" s="7" t="s">
        <v>432</v>
      </c>
      <c r="C136" s="7" t="s">
        <v>163</v>
      </c>
      <c r="D136" s="7" t="s">
        <v>364</v>
      </c>
      <c r="E136" s="7" t="s">
        <v>433</v>
      </c>
      <c r="F136" s="48">
        <v>0</v>
      </c>
      <c r="G136" s="48">
        <v>0</v>
      </c>
      <c r="H136" s="48">
        <v>0</v>
      </c>
      <c r="I136" s="48">
        <v>0</v>
      </c>
      <c r="J136" s="48">
        <v>1.75</v>
      </c>
      <c r="K136" s="7" t="s">
        <v>104</v>
      </c>
      <c r="L136" s="7" t="s">
        <v>103</v>
      </c>
      <c r="M136" s="7" t="s">
        <v>166</v>
      </c>
      <c r="N136" s="7" t="s">
        <v>117</v>
      </c>
    </row>
    <row r="137" spans="1:14" x14ac:dyDescent="0.25">
      <c r="A137" s="7" t="s">
        <v>434</v>
      </c>
      <c r="B137" s="7" t="s">
        <v>434</v>
      </c>
      <c r="C137" s="7" t="s">
        <v>163</v>
      </c>
      <c r="D137" s="7" t="s">
        <v>170</v>
      </c>
      <c r="E137" s="7" t="s">
        <v>435</v>
      </c>
      <c r="F137" s="48">
        <v>0</v>
      </c>
      <c r="G137" s="48">
        <v>0</v>
      </c>
      <c r="H137" s="48">
        <v>0</v>
      </c>
      <c r="I137" s="48">
        <v>0</v>
      </c>
      <c r="J137" s="48">
        <v>4.76</v>
      </c>
      <c r="K137" s="7" t="s">
        <v>104</v>
      </c>
      <c r="L137" s="7" t="s">
        <v>103</v>
      </c>
      <c r="M137" s="7" t="s">
        <v>166</v>
      </c>
      <c r="N137" s="7" t="s">
        <v>117</v>
      </c>
    </row>
    <row r="138" spans="1:14" x14ac:dyDescent="0.25">
      <c r="A138" s="7" t="s">
        <v>436</v>
      </c>
      <c r="B138" s="7" t="s">
        <v>436</v>
      </c>
      <c r="C138" s="7" t="s">
        <v>163</v>
      </c>
      <c r="D138" s="7" t="s">
        <v>404</v>
      </c>
      <c r="E138" s="7" t="s">
        <v>437</v>
      </c>
      <c r="F138" s="48">
        <v>0</v>
      </c>
      <c r="G138" s="48">
        <v>0</v>
      </c>
      <c r="H138" s="48">
        <v>0</v>
      </c>
      <c r="I138" s="48">
        <v>0</v>
      </c>
      <c r="J138" s="48">
        <v>16.309999999999999</v>
      </c>
      <c r="K138" s="7" t="s">
        <v>104</v>
      </c>
      <c r="L138" s="7" t="s">
        <v>103</v>
      </c>
      <c r="M138" s="7" t="s">
        <v>166</v>
      </c>
      <c r="N138" s="7" t="s">
        <v>117</v>
      </c>
    </row>
    <row r="139" spans="1:14" x14ac:dyDescent="0.25">
      <c r="A139" s="7" t="s">
        <v>438</v>
      </c>
      <c r="B139" s="7" t="s">
        <v>438</v>
      </c>
      <c r="C139" s="7" t="s">
        <v>163</v>
      </c>
      <c r="D139" s="7" t="s">
        <v>404</v>
      </c>
      <c r="E139" s="7" t="s">
        <v>439</v>
      </c>
      <c r="F139" s="48">
        <v>0</v>
      </c>
      <c r="G139" s="48">
        <v>0</v>
      </c>
      <c r="H139" s="48">
        <v>0</v>
      </c>
      <c r="I139" s="48">
        <v>0</v>
      </c>
      <c r="J139" s="48">
        <v>14.86</v>
      </c>
      <c r="K139" s="7" t="s">
        <v>104</v>
      </c>
      <c r="L139" s="7" t="s">
        <v>103</v>
      </c>
      <c r="M139" s="7" t="s">
        <v>166</v>
      </c>
      <c r="N139" s="7" t="s">
        <v>117</v>
      </c>
    </row>
    <row r="140" spans="1:14" x14ac:dyDescent="0.25">
      <c r="A140" s="7" t="s">
        <v>440</v>
      </c>
      <c r="B140" s="7" t="s">
        <v>440</v>
      </c>
      <c r="C140" s="7" t="s">
        <v>163</v>
      </c>
      <c r="D140" s="7" t="s">
        <v>170</v>
      </c>
      <c r="E140" s="7" t="s">
        <v>441</v>
      </c>
      <c r="F140" s="48">
        <v>0</v>
      </c>
      <c r="G140" s="48">
        <v>0</v>
      </c>
      <c r="H140" s="48">
        <v>0</v>
      </c>
      <c r="I140" s="48">
        <v>0</v>
      </c>
      <c r="J140" s="48">
        <v>4.76</v>
      </c>
      <c r="K140" s="7" t="s">
        <v>104</v>
      </c>
      <c r="L140" s="7" t="s">
        <v>103</v>
      </c>
      <c r="M140" s="7" t="s">
        <v>166</v>
      </c>
      <c r="N140" s="7" t="s">
        <v>117</v>
      </c>
    </row>
    <row r="141" spans="1:14" x14ac:dyDescent="0.25">
      <c r="A141" s="7" t="s">
        <v>442</v>
      </c>
      <c r="B141" s="7" t="s">
        <v>442</v>
      </c>
      <c r="C141" s="7" t="s">
        <v>163</v>
      </c>
      <c r="D141" s="7" t="s">
        <v>170</v>
      </c>
      <c r="E141" s="7" t="s">
        <v>443</v>
      </c>
      <c r="F141" s="48">
        <v>0</v>
      </c>
      <c r="G141" s="48">
        <v>0</v>
      </c>
      <c r="H141" s="48">
        <v>0</v>
      </c>
      <c r="I141" s="48">
        <v>0</v>
      </c>
      <c r="J141" s="48">
        <v>4.42</v>
      </c>
      <c r="K141" s="7" t="s">
        <v>104</v>
      </c>
      <c r="L141" s="7" t="s">
        <v>103</v>
      </c>
      <c r="M141" s="7" t="s">
        <v>166</v>
      </c>
      <c r="N141" s="7" t="s">
        <v>117</v>
      </c>
    </row>
    <row r="142" spans="1:14" x14ac:dyDescent="0.25">
      <c r="A142" s="7" t="s">
        <v>444</v>
      </c>
      <c r="B142" s="7" t="s">
        <v>444</v>
      </c>
      <c r="C142" s="7" t="s">
        <v>163</v>
      </c>
      <c r="D142" s="7" t="s">
        <v>404</v>
      </c>
      <c r="E142" s="7" t="s">
        <v>445</v>
      </c>
      <c r="F142" s="48">
        <v>0</v>
      </c>
      <c r="G142" s="48">
        <v>0</v>
      </c>
      <c r="H142" s="48">
        <v>0</v>
      </c>
      <c r="I142" s="48">
        <v>0</v>
      </c>
      <c r="J142" s="48">
        <v>9.7899999999999991</v>
      </c>
      <c r="K142" s="7" t="s">
        <v>104</v>
      </c>
      <c r="L142" s="7" t="s">
        <v>103</v>
      </c>
      <c r="M142" s="7" t="s">
        <v>166</v>
      </c>
      <c r="N142" s="7" t="s">
        <v>117</v>
      </c>
    </row>
    <row r="143" spans="1:14" x14ac:dyDescent="0.25">
      <c r="A143" s="7" t="s">
        <v>446</v>
      </c>
      <c r="B143" s="7" t="s">
        <v>446</v>
      </c>
      <c r="C143" s="7" t="s">
        <v>163</v>
      </c>
      <c r="D143" s="7" t="s">
        <v>170</v>
      </c>
      <c r="E143" s="7" t="s">
        <v>447</v>
      </c>
      <c r="F143" s="48">
        <v>0</v>
      </c>
      <c r="G143" s="48">
        <v>0</v>
      </c>
      <c r="H143" s="48">
        <v>0</v>
      </c>
      <c r="I143" s="48">
        <v>0</v>
      </c>
      <c r="J143" s="48">
        <v>4.42</v>
      </c>
      <c r="K143" s="7" t="s">
        <v>104</v>
      </c>
      <c r="L143" s="7" t="s">
        <v>103</v>
      </c>
      <c r="M143" s="7" t="s">
        <v>166</v>
      </c>
      <c r="N143" s="7" t="s">
        <v>117</v>
      </c>
    </row>
    <row r="144" spans="1:14" x14ac:dyDescent="0.25">
      <c r="A144" s="7" t="s">
        <v>448</v>
      </c>
      <c r="B144" s="7" t="s">
        <v>448</v>
      </c>
      <c r="C144" s="7" t="s">
        <v>163</v>
      </c>
      <c r="D144" s="7" t="s">
        <v>404</v>
      </c>
      <c r="E144" s="7" t="s">
        <v>449</v>
      </c>
      <c r="F144" s="48">
        <v>0</v>
      </c>
      <c r="G144" s="48">
        <v>0</v>
      </c>
      <c r="H144" s="48">
        <v>0</v>
      </c>
      <c r="I144" s="48">
        <v>0</v>
      </c>
      <c r="J144" s="48">
        <v>11.96</v>
      </c>
      <c r="K144" s="7" t="s">
        <v>104</v>
      </c>
      <c r="L144" s="7" t="s">
        <v>103</v>
      </c>
      <c r="M144" s="7" t="s">
        <v>166</v>
      </c>
      <c r="N144" s="7" t="s">
        <v>117</v>
      </c>
    </row>
    <row r="145" spans="1:14" x14ac:dyDescent="0.25">
      <c r="A145" s="7" t="s">
        <v>450</v>
      </c>
      <c r="B145" s="7" t="s">
        <v>450</v>
      </c>
      <c r="C145" s="7" t="s">
        <v>163</v>
      </c>
      <c r="D145" s="7" t="s">
        <v>170</v>
      </c>
      <c r="E145" s="7" t="s">
        <v>451</v>
      </c>
      <c r="F145" s="48">
        <v>0</v>
      </c>
      <c r="G145" s="48">
        <v>0</v>
      </c>
      <c r="H145" s="48">
        <v>0</v>
      </c>
      <c r="I145" s="48">
        <v>0</v>
      </c>
      <c r="J145" s="48">
        <v>4.42</v>
      </c>
      <c r="K145" s="7" t="s">
        <v>104</v>
      </c>
      <c r="L145" s="7" t="s">
        <v>103</v>
      </c>
      <c r="M145" s="7" t="s">
        <v>166</v>
      </c>
      <c r="N145" s="7" t="s">
        <v>117</v>
      </c>
    </row>
    <row r="146" spans="1:14" x14ac:dyDescent="0.25">
      <c r="A146" s="7" t="s">
        <v>452</v>
      </c>
      <c r="B146" s="7" t="s">
        <v>452</v>
      </c>
      <c r="C146" s="7" t="s">
        <v>163</v>
      </c>
      <c r="D146" s="7" t="s">
        <v>404</v>
      </c>
      <c r="E146" s="7" t="s">
        <v>453</v>
      </c>
      <c r="F146" s="48">
        <v>0</v>
      </c>
      <c r="G146" s="48">
        <v>0</v>
      </c>
      <c r="H146" s="48">
        <v>0</v>
      </c>
      <c r="I146" s="48">
        <v>0</v>
      </c>
      <c r="J146" s="48">
        <v>13.78</v>
      </c>
      <c r="K146" s="7" t="s">
        <v>104</v>
      </c>
      <c r="L146" s="7" t="s">
        <v>103</v>
      </c>
      <c r="M146" s="7" t="s">
        <v>166</v>
      </c>
      <c r="N146" s="7" t="s">
        <v>117</v>
      </c>
    </row>
    <row r="147" spans="1:14" x14ac:dyDescent="0.25">
      <c r="A147" s="7" t="s">
        <v>454</v>
      </c>
      <c r="B147" s="7" t="s">
        <v>454</v>
      </c>
      <c r="C147" s="7" t="s">
        <v>163</v>
      </c>
      <c r="D147" s="7" t="s">
        <v>404</v>
      </c>
      <c r="E147" s="7" t="s">
        <v>455</v>
      </c>
      <c r="F147" s="48">
        <v>0</v>
      </c>
      <c r="G147" s="48">
        <v>0</v>
      </c>
      <c r="H147" s="48">
        <v>0</v>
      </c>
      <c r="I147" s="48">
        <v>0</v>
      </c>
      <c r="J147" s="48">
        <v>15.59</v>
      </c>
      <c r="K147" s="7" t="s">
        <v>104</v>
      </c>
      <c r="L147" s="7" t="s">
        <v>103</v>
      </c>
      <c r="M147" s="7" t="s">
        <v>166</v>
      </c>
      <c r="N147" s="7" t="s">
        <v>117</v>
      </c>
    </row>
    <row r="148" spans="1:14" x14ac:dyDescent="0.25">
      <c r="A148" s="7" t="s">
        <v>456</v>
      </c>
      <c r="B148" s="7" t="s">
        <v>456</v>
      </c>
      <c r="C148" s="7" t="s">
        <v>163</v>
      </c>
      <c r="D148" s="7" t="s">
        <v>179</v>
      </c>
      <c r="E148" s="7" t="s">
        <v>457</v>
      </c>
      <c r="F148" s="48">
        <v>0</v>
      </c>
      <c r="G148" s="48">
        <v>0</v>
      </c>
      <c r="H148" s="48">
        <v>0</v>
      </c>
      <c r="I148" s="48">
        <v>0</v>
      </c>
      <c r="J148" s="48">
        <v>1.87</v>
      </c>
      <c r="K148" s="7" t="s">
        <v>104</v>
      </c>
      <c r="L148" s="7" t="s">
        <v>103</v>
      </c>
      <c r="M148" s="7" t="s">
        <v>166</v>
      </c>
      <c r="N148" s="7" t="s">
        <v>117</v>
      </c>
    </row>
    <row r="149" spans="1:14" x14ac:dyDescent="0.25">
      <c r="A149" s="7" t="s">
        <v>458</v>
      </c>
      <c r="B149" s="7" t="s">
        <v>458</v>
      </c>
      <c r="C149" s="7" t="s">
        <v>163</v>
      </c>
      <c r="D149" s="7" t="s">
        <v>459</v>
      </c>
      <c r="E149" s="7" t="s">
        <v>460</v>
      </c>
      <c r="F149" s="48">
        <v>0</v>
      </c>
      <c r="G149" s="48">
        <v>0</v>
      </c>
      <c r="H149" s="48">
        <v>0</v>
      </c>
      <c r="I149" s="48">
        <v>0</v>
      </c>
      <c r="J149" s="48">
        <v>3.06</v>
      </c>
      <c r="K149" s="7" t="s">
        <v>104</v>
      </c>
      <c r="L149" s="7" t="s">
        <v>103</v>
      </c>
      <c r="M149" s="7" t="s">
        <v>166</v>
      </c>
      <c r="N149" s="7" t="s">
        <v>117</v>
      </c>
    </row>
    <row r="150" spans="1:14" x14ac:dyDescent="0.25">
      <c r="A150" s="7" t="s">
        <v>461</v>
      </c>
      <c r="B150" s="7" t="s">
        <v>461</v>
      </c>
      <c r="C150" s="7" t="s">
        <v>163</v>
      </c>
      <c r="D150" s="7" t="s">
        <v>459</v>
      </c>
      <c r="E150" s="7" t="s">
        <v>462</v>
      </c>
      <c r="F150" s="48">
        <v>0</v>
      </c>
      <c r="G150" s="48">
        <v>0</v>
      </c>
      <c r="H150" s="48">
        <v>0</v>
      </c>
      <c r="I150" s="48">
        <v>0</v>
      </c>
      <c r="J150" s="48">
        <v>5.0999999999999996</v>
      </c>
      <c r="K150" s="7" t="s">
        <v>104</v>
      </c>
      <c r="L150" s="7" t="s">
        <v>103</v>
      </c>
      <c r="M150" s="7" t="s">
        <v>166</v>
      </c>
      <c r="N150" s="7" t="s">
        <v>117</v>
      </c>
    </row>
    <row r="151" spans="1:14" x14ac:dyDescent="0.25">
      <c r="A151" s="7" t="s">
        <v>463</v>
      </c>
      <c r="B151" s="7" t="s">
        <v>463</v>
      </c>
      <c r="C151" s="7" t="s">
        <v>163</v>
      </c>
      <c r="D151" s="7" t="s">
        <v>179</v>
      </c>
      <c r="E151" s="7" t="s">
        <v>464</v>
      </c>
      <c r="F151" s="48">
        <v>0</v>
      </c>
      <c r="G151" s="48">
        <v>0</v>
      </c>
      <c r="H151" s="48">
        <v>0</v>
      </c>
      <c r="I151" s="48">
        <v>0</v>
      </c>
      <c r="J151" s="48">
        <v>1.62</v>
      </c>
      <c r="K151" s="7" t="s">
        <v>104</v>
      </c>
      <c r="L151" s="7" t="s">
        <v>103</v>
      </c>
      <c r="M151" s="7" t="s">
        <v>166</v>
      </c>
      <c r="N151" s="7" t="s">
        <v>117</v>
      </c>
    </row>
    <row r="152" spans="1:14" x14ac:dyDescent="0.25">
      <c r="A152" s="7" t="s">
        <v>463</v>
      </c>
      <c r="B152" s="7" t="s">
        <v>463</v>
      </c>
      <c r="C152" s="7" t="s">
        <v>163</v>
      </c>
      <c r="D152" s="7" t="s">
        <v>179</v>
      </c>
      <c r="E152" s="7" t="s">
        <v>464</v>
      </c>
      <c r="F152" s="48">
        <v>0</v>
      </c>
      <c r="G152" s="48">
        <v>0</v>
      </c>
      <c r="H152" s="48">
        <v>0</v>
      </c>
      <c r="I152" s="48">
        <v>0</v>
      </c>
      <c r="J152" s="48">
        <v>-1.33</v>
      </c>
      <c r="K152" s="7" t="s">
        <v>104</v>
      </c>
      <c r="L152" s="7" t="s">
        <v>103</v>
      </c>
      <c r="M152" s="7" t="s">
        <v>166</v>
      </c>
      <c r="N152" s="7" t="s">
        <v>117</v>
      </c>
    </row>
    <row r="153" spans="1:14" x14ac:dyDescent="0.25">
      <c r="A153" s="7" t="s">
        <v>463</v>
      </c>
      <c r="B153" s="7" t="s">
        <v>463</v>
      </c>
      <c r="C153" s="7" t="s">
        <v>163</v>
      </c>
      <c r="D153" s="7" t="s">
        <v>465</v>
      </c>
      <c r="E153" s="7" t="s">
        <v>466</v>
      </c>
      <c r="F153" s="48">
        <v>0</v>
      </c>
      <c r="G153" s="48">
        <v>0</v>
      </c>
      <c r="H153" s="48">
        <v>0</v>
      </c>
      <c r="I153" s="48">
        <v>0</v>
      </c>
      <c r="J153" s="48">
        <v>1.87</v>
      </c>
      <c r="K153" s="7" t="s">
        <v>104</v>
      </c>
      <c r="L153" s="7" t="s">
        <v>103</v>
      </c>
      <c r="M153" s="7" t="s">
        <v>166</v>
      </c>
      <c r="N153" s="7" t="s">
        <v>117</v>
      </c>
    </row>
    <row r="154" spans="1:14" x14ac:dyDescent="0.25">
      <c r="A154" s="7" t="s">
        <v>463</v>
      </c>
      <c r="B154" s="7" t="s">
        <v>463</v>
      </c>
      <c r="C154" s="7" t="s">
        <v>163</v>
      </c>
      <c r="D154" s="7" t="s">
        <v>465</v>
      </c>
      <c r="E154" s="7" t="s">
        <v>466</v>
      </c>
      <c r="F154" s="48">
        <v>0</v>
      </c>
      <c r="G154" s="48">
        <v>0</v>
      </c>
      <c r="H154" s="48">
        <v>0</v>
      </c>
      <c r="I154" s="48">
        <v>0</v>
      </c>
      <c r="J154" s="48">
        <v>-1.54</v>
      </c>
      <c r="K154" s="7" t="s">
        <v>104</v>
      </c>
      <c r="L154" s="7" t="s">
        <v>103</v>
      </c>
      <c r="M154" s="7" t="s">
        <v>166</v>
      </c>
      <c r="N154" s="7" t="s">
        <v>117</v>
      </c>
    </row>
    <row r="155" spans="1:14" x14ac:dyDescent="0.25">
      <c r="A155" s="7" t="s">
        <v>467</v>
      </c>
      <c r="B155" s="7" t="s">
        <v>467</v>
      </c>
      <c r="C155" s="7" t="s">
        <v>163</v>
      </c>
      <c r="D155" s="7" t="s">
        <v>404</v>
      </c>
      <c r="E155" s="7" t="s">
        <v>468</v>
      </c>
      <c r="F155" s="48">
        <v>0</v>
      </c>
      <c r="G155" s="48">
        <v>0</v>
      </c>
      <c r="H155" s="48">
        <v>0</v>
      </c>
      <c r="I155" s="48">
        <v>0</v>
      </c>
      <c r="J155" s="48">
        <v>21.75</v>
      </c>
      <c r="K155" s="7" t="s">
        <v>104</v>
      </c>
      <c r="L155" s="7" t="s">
        <v>103</v>
      </c>
      <c r="M155" s="7" t="s">
        <v>166</v>
      </c>
      <c r="N155" s="7" t="s">
        <v>117</v>
      </c>
    </row>
    <row r="156" spans="1:14" x14ac:dyDescent="0.25">
      <c r="A156" s="7" t="s">
        <v>469</v>
      </c>
      <c r="B156" s="7" t="s">
        <v>469</v>
      </c>
      <c r="C156" s="7" t="s">
        <v>163</v>
      </c>
      <c r="D156" s="7" t="s">
        <v>179</v>
      </c>
      <c r="E156" s="7" t="s">
        <v>470</v>
      </c>
      <c r="F156" s="48">
        <v>0</v>
      </c>
      <c r="G156" s="48">
        <v>0</v>
      </c>
      <c r="H156" s="48">
        <v>0</v>
      </c>
      <c r="I156" s="48">
        <v>0</v>
      </c>
      <c r="J156" s="48">
        <v>1.33</v>
      </c>
      <c r="K156" s="7" t="s">
        <v>104</v>
      </c>
      <c r="L156" s="7" t="s">
        <v>103</v>
      </c>
      <c r="M156" s="7" t="s">
        <v>166</v>
      </c>
      <c r="N156" s="7" t="s">
        <v>117</v>
      </c>
    </row>
    <row r="157" spans="1:14" x14ac:dyDescent="0.25">
      <c r="A157" s="7" t="s">
        <v>471</v>
      </c>
      <c r="B157" s="7" t="s">
        <v>471</v>
      </c>
      <c r="C157" s="7" t="s">
        <v>163</v>
      </c>
      <c r="D157" s="7" t="s">
        <v>404</v>
      </c>
      <c r="E157" s="7" t="s">
        <v>472</v>
      </c>
      <c r="F157" s="48">
        <v>0</v>
      </c>
      <c r="G157" s="48">
        <v>0</v>
      </c>
      <c r="H157" s="48">
        <v>0</v>
      </c>
      <c r="I157" s="48">
        <v>0</v>
      </c>
      <c r="J157" s="48">
        <v>8.81</v>
      </c>
      <c r="K157" s="7" t="s">
        <v>104</v>
      </c>
      <c r="L157" s="7" t="s">
        <v>103</v>
      </c>
      <c r="M157" s="7" t="s">
        <v>166</v>
      </c>
      <c r="N157" s="7" t="s">
        <v>117</v>
      </c>
    </row>
    <row r="158" spans="1:14" x14ac:dyDescent="0.25">
      <c r="A158" s="7" t="s">
        <v>473</v>
      </c>
      <c r="B158" s="7" t="s">
        <v>473</v>
      </c>
      <c r="C158" s="7" t="s">
        <v>163</v>
      </c>
      <c r="D158" s="7" t="s">
        <v>465</v>
      </c>
      <c r="E158" s="7" t="s">
        <v>474</v>
      </c>
      <c r="F158" s="48">
        <v>0</v>
      </c>
      <c r="G158" s="48">
        <v>0</v>
      </c>
      <c r="H158" s="48">
        <v>0</v>
      </c>
      <c r="I158" s="48">
        <v>0</v>
      </c>
      <c r="J158" s="48">
        <v>1.54</v>
      </c>
      <c r="K158" s="7" t="s">
        <v>104</v>
      </c>
      <c r="L158" s="7" t="s">
        <v>103</v>
      </c>
      <c r="M158" s="7" t="s">
        <v>166</v>
      </c>
      <c r="N158" s="7" t="s">
        <v>117</v>
      </c>
    </row>
    <row r="159" spans="1:14" x14ac:dyDescent="0.25">
      <c r="A159" s="7" t="s">
        <v>475</v>
      </c>
      <c r="B159" s="7" t="s">
        <v>475</v>
      </c>
      <c r="C159" s="7" t="s">
        <v>163</v>
      </c>
      <c r="D159" s="7" t="s">
        <v>476</v>
      </c>
      <c r="E159" s="7" t="s">
        <v>477</v>
      </c>
      <c r="F159" s="48">
        <v>0</v>
      </c>
      <c r="G159" s="48">
        <v>0</v>
      </c>
      <c r="H159" s="48">
        <v>0</v>
      </c>
      <c r="I159" s="48">
        <v>0</v>
      </c>
      <c r="J159" s="48">
        <v>3.5</v>
      </c>
      <c r="K159" s="7" t="s">
        <v>104</v>
      </c>
      <c r="L159" s="7" t="s">
        <v>478</v>
      </c>
      <c r="M159" s="7" t="s">
        <v>166</v>
      </c>
      <c r="N159" s="7" t="s">
        <v>117</v>
      </c>
    </row>
    <row r="160" spans="1:14" x14ac:dyDescent="0.25">
      <c r="A160" s="7" t="s">
        <v>479</v>
      </c>
      <c r="B160" s="7" t="s">
        <v>479</v>
      </c>
      <c r="C160" s="7" t="s">
        <v>163</v>
      </c>
      <c r="D160" s="7" t="s">
        <v>480</v>
      </c>
      <c r="E160" s="7" t="s">
        <v>481</v>
      </c>
      <c r="F160" s="48">
        <v>0</v>
      </c>
      <c r="G160" s="48">
        <v>0</v>
      </c>
      <c r="H160" s="48">
        <v>0</v>
      </c>
      <c r="I160" s="48">
        <v>0</v>
      </c>
      <c r="J160" s="48">
        <v>0.88</v>
      </c>
      <c r="K160" s="7" t="s">
        <v>104</v>
      </c>
      <c r="L160" s="7" t="s">
        <v>478</v>
      </c>
      <c r="M160" s="7" t="s">
        <v>166</v>
      </c>
      <c r="N160" s="7" t="s">
        <v>117</v>
      </c>
    </row>
    <row r="161" spans="1:14" x14ac:dyDescent="0.25">
      <c r="A161" s="7" t="s">
        <v>482</v>
      </c>
      <c r="B161" s="7" t="s">
        <v>482</v>
      </c>
      <c r="C161" s="7" t="s">
        <v>163</v>
      </c>
      <c r="D161" s="7" t="s">
        <v>476</v>
      </c>
      <c r="E161" s="7" t="s">
        <v>483</v>
      </c>
      <c r="F161" s="48">
        <v>0</v>
      </c>
      <c r="G161" s="48">
        <v>0</v>
      </c>
      <c r="H161" s="48">
        <v>0</v>
      </c>
      <c r="I161" s="48">
        <v>0</v>
      </c>
      <c r="J161" s="48">
        <v>3.5</v>
      </c>
      <c r="K161" s="7" t="s">
        <v>104</v>
      </c>
      <c r="L161" s="7" t="s">
        <v>478</v>
      </c>
      <c r="M161" s="7" t="s">
        <v>166</v>
      </c>
      <c r="N161" s="7" t="s">
        <v>117</v>
      </c>
    </row>
    <row r="162" spans="1:14" x14ac:dyDescent="0.25">
      <c r="A162" s="7" t="s">
        <v>484</v>
      </c>
      <c r="B162" s="7" t="s">
        <v>484</v>
      </c>
      <c r="C162" s="7" t="s">
        <v>163</v>
      </c>
      <c r="D162" s="7" t="s">
        <v>476</v>
      </c>
      <c r="E162" s="7" t="s">
        <v>485</v>
      </c>
      <c r="F162" s="48">
        <v>0</v>
      </c>
      <c r="G162" s="48">
        <v>0</v>
      </c>
      <c r="H162" s="48">
        <v>0</v>
      </c>
      <c r="I162" s="48">
        <v>0</v>
      </c>
      <c r="J162" s="48">
        <v>3.5</v>
      </c>
      <c r="K162" s="7" t="s">
        <v>104</v>
      </c>
      <c r="L162" s="7" t="s">
        <v>478</v>
      </c>
      <c r="M162" s="7" t="s">
        <v>166</v>
      </c>
      <c r="N162" s="7" t="s">
        <v>117</v>
      </c>
    </row>
    <row r="163" spans="1:14" x14ac:dyDescent="0.25">
      <c r="A163" s="7" t="s">
        <v>486</v>
      </c>
      <c r="B163" s="7" t="s">
        <v>486</v>
      </c>
      <c r="C163" s="7" t="s">
        <v>163</v>
      </c>
      <c r="D163" s="7" t="s">
        <v>476</v>
      </c>
      <c r="E163" s="7" t="s">
        <v>487</v>
      </c>
      <c r="F163" s="48">
        <v>0</v>
      </c>
      <c r="G163" s="48">
        <v>0</v>
      </c>
      <c r="H163" s="48">
        <v>0</v>
      </c>
      <c r="I163" s="48">
        <v>0</v>
      </c>
      <c r="J163" s="48">
        <v>1.05</v>
      </c>
      <c r="K163" s="7" t="s">
        <v>104</v>
      </c>
      <c r="L163" s="7" t="s">
        <v>155</v>
      </c>
      <c r="M163" s="7" t="s">
        <v>166</v>
      </c>
      <c r="N163" s="7" t="s">
        <v>157</v>
      </c>
    </row>
    <row r="164" spans="1:14" x14ac:dyDescent="0.25">
      <c r="A164" s="7" t="s">
        <v>293</v>
      </c>
      <c r="B164" s="7" t="s">
        <v>293</v>
      </c>
      <c r="C164" s="7" t="s">
        <v>488</v>
      </c>
      <c r="D164" s="7" t="s">
        <v>489</v>
      </c>
      <c r="E164" s="7" t="s">
        <v>490</v>
      </c>
      <c r="F164" s="48">
        <v>0</v>
      </c>
      <c r="G164" s="48">
        <v>0</v>
      </c>
      <c r="H164" s="48">
        <v>0</v>
      </c>
      <c r="I164" s="48">
        <v>0</v>
      </c>
      <c r="J164" s="48">
        <v>58.25</v>
      </c>
      <c r="K164" s="7" t="s">
        <v>104</v>
      </c>
      <c r="L164" s="7" t="s">
        <v>112</v>
      </c>
      <c r="M164" s="7" t="s">
        <v>491</v>
      </c>
      <c r="N164" s="7" t="s">
        <v>118</v>
      </c>
    </row>
    <row r="165" spans="1:14" x14ac:dyDescent="0.25">
      <c r="A165" s="7" t="s">
        <v>492</v>
      </c>
      <c r="B165" s="7" t="s">
        <v>492</v>
      </c>
      <c r="C165" s="7" t="s">
        <v>493</v>
      </c>
      <c r="D165" s="7" t="s">
        <v>494</v>
      </c>
      <c r="E165" s="7" t="s">
        <v>495</v>
      </c>
      <c r="F165" s="48">
        <v>-1</v>
      </c>
      <c r="G165" s="48">
        <v>0</v>
      </c>
      <c r="H165" s="48">
        <v>0</v>
      </c>
      <c r="I165" s="48">
        <v>0</v>
      </c>
      <c r="J165" s="48">
        <v>0</v>
      </c>
      <c r="K165" s="7" t="s">
        <v>104</v>
      </c>
      <c r="L165" s="7" t="s">
        <v>112</v>
      </c>
      <c r="M165" s="7" t="s">
        <v>491</v>
      </c>
      <c r="N165" s="7" t="s">
        <v>118</v>
      </c>
    </row>
    <row r="166" spans="1:14" x14ac:dyDescent="0.25">
      <c r="A166" s="7" t="s">
        <v>496</v>
      </c>
      <c r="B166" s="7" t="s">
        <v>496</v>
      </c>
      <c r="C166" s="7" t="s">
        <v>115</v>
      </c>
      <c r="D166" s="7" t="s">
        <v>232</v>
      </c>
      <c r="E166" s="7" t="s">
        <v>497</v>
      </c>
      <c r="F166" s="48">
        <v>0</v>
      </c>
      <c r="G166" s="48">
        <v>0</v>
      </c>
      <c r="H166" s="48">
        <v>0</v>
      </c>
      <c r="I166" s="48">
        <v>0</v>
      </c>
      <c r="J166" s="48">
        <v>-0.41</v>
      </c>
      <c r="K166" s="7" t="s">
        <v>104</v>
      </c>
      <c r="L166" s="7" t="s">
        <v>112</v>
      </c>
      <c r="M166" s="7" t="s">
        <v>498</v>
      </c>
      <c r="N166" s="7" t="s">
        <v>118</v>
      </c>
    </row>
    <row r="167" spans="1:14" x14ac:dyDescent="0.25">
      <c r="A167" s="7" t="s">
        <v>496</v>
      </c>
      <c r="B167" s="7" t="s">
        <v>496</v>
      </c>
      <c r="C167" s="7" t="s">
        <v>153</v>
      </c>
      <c r="D167" s="7" t="s">
        <v>232</v>
      </c>
      <c r="E167" s="7" t="s">
        <v>499</v>
      </c>
      <c r="F167" s="48">
        <v>0</v>
      </c>
      <c r="G167" s="48">
        <v>19</v>
      </c>
      <c r="H167" s="48">
        <v>0</v>
      </c>
      <c r="I167" s="48">
        <v>0</v>
      </c>
      <c r="J167" s="48">
        <v>-1.1599999999999999</v>
      </c>
      <c r="K167" s="7" t="s">
        <v>104</v>
      </c>
      <c r="L167" s="7" t="s">
        <v>112</v>
      </c>
      <c r="M167" s="7" t="s">
        <v>166</v>
      </c>
      <c r="N167" s="7" t="s">
        <v>118</v>
      </c>
    </row>
    <row r="168" spans="1:14" x14ac:dyDescent="0.25">
      <c r="A168" s="7" t="s">
        <v>496</v>
      </c>
      <c r="B168" s="7" t="s">
        <v>496</v>
      </c>
      <c r="C168" s="7" t="s">
        <v>153</v>
      </c>
      <c r="D168" s="7" t="s">
        <v>232</v>
      </c>
      <c r="E168" s="7" t="s">
        <v>500</v>
      </c>
      <c r="F168" s="48">
        <v>0</v>
      </c>
      <c r="G168" s="48">
        <v>0.11</v>
      </c>
      <c r="H168" s="48">
        <v>0</v>
      </c>
      <c r="I168" s="48">
        <v>0</v>
      </c>
      <c r="J168" s="48">
        <v>6.12</v>
      </c>
      <c r="K168" s="7" t="s">
        <v>104</v>
      </c>
      <c r="L168" s="7" t="s">
        <v>112</v>
      </c>
      <c r="M168" s="7" t="s">
        <v>166</v>
      </c>
      <c r="N168" s="7" t="s">
        <v>118</v>
      </c>
    </row>
    <row r="169" spans="1:14" x14ac:dyDescent="0.25">
      <c r="A169" s="7" t="s">
        <v>501</v>
      </c>
      <c r="B169" s="7" t="s">
        <v>501</v>
      </c>
      <c r="C169" s="7" t="s">
        <v>115</v>
      </c>
      <c r="D169" s="7" t="s">
        <v>232</v>
      </c>
      <c r="E169" s="7" t="s">
        <v>497</v>
      </c>
      <c r="F169" s="48">
        <v>0</v>
      </c>
      <c r="G169" s="48">
        <v>0</v>
      </c>
      <c r="H169" s="48">
        <v>0</v>
      </c>
      <c r="I169" s="48">
        <v>0</v>
      </c>
      <c r="J169" s="48">
        <v>-0.38</v>
      </c>
      <c r="K169" s="7" t="s">
        <v>104</v>
      </c>
      <c r="L169" s="7" t="s">
        <v>112</v>
      </c>
      <c r="M169" s="7" t="s">
        <v>498</v>
      </c>
      <c r="N169" s="7" t="s">
        <v>118</v>
      </c>
    </row>
    <row r="170" spans="1:14" x14ac:dyDescent="0.25">
      <c r="A170" s="7" t="s">
        <v>501</v>
      </c>
      <c r="B170" s="7" t="s">
        <v>501</v>
      </c>
      <c r="C170" s="7" t="s">
        <v>153</v>
      </c>
      <c r="D170" s="7" t="s">
        <v>232</v>
      </c>
      <c r="E170" s="7" t="s">
        <v>502</v>
      </c>
      <c r="F170" s="48">
        <v>0</v>
      </c>
      <c r="G170" s="48">
        <v>19</v>
      </c>
      <c r="H170" s="48">
        <v>0</v>
      </c>
      <c r="I170" s="48">
        <v>0</v>
      </c>
      <c r="J170" s="48">
        <v>-0.75</v>
      </c>
      <c r="K170" s="7" t="s">
        <v>104</v>
      </c>
      <c r="L170" s="7" t="s">
        <v>112</v>
      </c>
      <c r="M170" s="7" t="s">
        <v>166</v>
      </c>
      <c r="N170" s="7" t="s">
        <v>118</v>
      </c>
    </row>
    <row r="171" spans="1:14" x14ac:dyDescent="0.25">
      <c r="A171" s="7" t="s">
        <v>501</v>
      </c>
      <c r="B171" s="7" t="s">
        <v>501</v>
      </c>
      <c r="C171" s="7" t="s">
        <v>153</v>
      </c>
      <c r="D171" s="7" t="s">
        <v>232</v>
      </c>
      <c r="E171" s="7" t="s">
        <v>503</v>
      </c>
      <c r="F171" s="48">
        <v>0</v>
      </c>
      <c r="G171" s="48">
        <v>7.0000000000000007E-2</v>
      </c>
      <c r="H171" s="48">
        <v>0</v>
      </c>
      <c r="I171" s="48">
        <v>0</v>
      </c>
      <c r="J171" s="48">
        <v>3.98</v>
      </c>
      <c r="K171" s="7" t="s">
        <v>104</v>
      </c>
      <c r="L171" s="7" t="s">
        <v>112</v>
      </c>
      <c r="M171" s="7" t="s">
        <v>166</v>
      </c>
      <c r="N171" s="7" t="s">
        <v>118</v>
      </c>
    </row>
    <row r="172" spans="1:14" x14ac:dyDescent="0.25">
      <c r="A172" s="7" t="s">
        <v>504</v>
      </c>
      <c r="B172" s="7" t="s">
        <v>504</v>
      </c>
      <c r="C172" s="7" t="s">
        <v>115</v>
      </c>
      <c r="D172" s="7" t="s">
        <v>232</v>
      </c>
      <c r="E172" s="7" t="s">
        <v>497</v>
      </c>
      <c r="F172" s="48">
        <v>0</v>
      </c>
      <c r="G172" s="48">
        <v>0</v>
      </c>
      <c r="H172" s="48">
        <v>0</v>
      </c>
      <c r="I172" s="48">
        <v>0</v>
      </c>
      <c r="J172" s="48">
        <v>-0.13</v>
      </c>
      <c r="K172" s="7" t="s">
        <v>104</v>
      </c>
      <c r="L172" s="7" t="s">
        <v>112</v>
      </c>
      <c r="M172" s="7" t="s">
        <v>498</v>
      </c>
      <c r="N172" s="7" t="s">
        <v>118</v>
      </c>
    </row>
    <row r="173" spans="1:14" x14ac:dyDescent="0.25">
      <c r="A173" s="7" t="s">
        <v>504</v>
      </c>
      <c r="B173" s="7" t="s">
        <v>504</v>
      </c>
      <c r="C173" s="7" t="s">
        <v>153</v>
      </c>
      <c r="D173" s="7" t="s">
        <v>232</v>
      </c>
      <c r="E173" s="7" t="s">
        <v>505</v>
      </c>
      <c r="F173" s="48">
        <v>0</v>
      </c>
      <c r="G173" s="48">
        <v>19</v>
      </c>
      <c r="H173" s="48">
        <v>0</v>
      </c>
      <c r="I173" s="48">
        <v>0</v>
      </c>
      <c r="J173" s="48">
        <v>-0.77</v>
      </c>
      <c r="K173" s="7" t="s">
        <v>104</v>
      </c>
      <c r="L173" s="7" t="s">
        <v>112</v>
      </c>
      <c r="M173" s="7" t="s">
        <v>166</v>
      </c>
      <c r="N173" s="7" t="s">
        <v>118</v>
      </c>
    </row>
    <row r="174" spans="1:14" x14ac:dyDescent="0.25">
      <c r="A174" s="7" t="s">
        <v>504</v>
      </c>
      <c r="B174" s="7" t="s">
        <v>504</v>
      </c>
      <c r="C174" s="7" t="s">
        <v>153</v>
      </c>
      <c r="D174" s="7" t="s">
        <v>232</v>
      </c>
      <c r="E174" s="7" t="s">
        <v>506</v>
      </c>
      <c r="F174" s="48">
        <v>0</v>
      </c>
      <c r="G174" s="48">
        <v>7.0000000000000007E-2</v>
      </c>
      <c r="H174" s="48">
        <v>0</v>
      </c>
      <c r="I174" s="48">
        <v>0</v>
      </c>
      <c r="J174" s="48">
        <v>4.08</v>
      </c>
      <c r="K174" s="7" t="s">
        <v>104</v>
      </c>
      <c r="L174" s="7" t="s">
        <v>112</v>
      </c>
      <c r="M174" s="7" t="s">
        <v>166</v>
      </c>
      <c r="N174" s="7" t="s">
        <v>118</v>
      </c>
    </row>
    <row r="175" spans="1:14" x14ac:dyDescent="0.25">
      <c r="A175" s="7" t="s">
        <v>507</v>
      </c>
      <c r="B175" s="7" t="s">
        <v>507</v>
      </c>
      <c r="C175" s="7" t="s">
        <v>488</v>
      </c>
      <c r="D175" s="7" t="s">
        <v>232</v>
      </c>
      <c r="E175" s="7" t="s">
        <v>508</v>
      </c>
      <c r="F175" s="48">
        <v>0</v>
      </c>
      <c r="G175" s="48">
        <v>0</v>
      </c>
      <c r="H175" s="48">
        <v>0</v>
      </c>
      <c r="I175" s="48">
        <v>0</v>
      </c>
      <c r="J175" s="48">
        <v>2.17</v>
      </c>
      <c r="K175" s="7" t="s">
        <v>104</v>
      </c>
      <c r="L175" s="7" t="s">
        <v>112</v>
      </c>
      <c r="M175" s="7" t="s">
        <v>491</v>
      </c>
      <c r="N175" s="7" t="s">
        <v>118</v>
      </c>
    </row>
    <row r="176" spans="1:14" x14ac:dyDescent="0.25">
      <c r="A176" s="7" t="s">
        <v>231</v>
      </c>
      <c r="B176" s="7" t="s">
        <v>231</v>
      </c>
      <c r="C176" s="7" t="s">
        <v>115</v>
      </c>
      <c r="D176" s="7" t="s">
        <v>232</v>
      </c>
      <c r="E176" s="7" t="s">
        <v>497</v>
      </c>
      <c r="F176" s="48">
        <v>0</v>
      </c>
      <c r="G176" s="48">
        <v>0</v>
      </c>
      <c r="H176" s="48">
        <v>0</v>
      </c>
      <c r="I176" s="48">
        <v>0</v>
      </c>
      <c r="J176" s="48">
        <v>-0.13</v>
      </c>
      <c r="K176" s="7" t="s">
        <v>104</v>
      </c>
      <c r="L176" s="7" t="s">
        <v>112</v>
      </c>
      <c r="M176" s="7" t="s">
        <v>498</v>
      </c>
      <c r="N176" s="7" t="s">
        <v>118</v>
      </c>
    </row>
    <row r="177" spans="1:14" x14ac:dyDescent="0.25">
      <c r="A177" s="7" t="s">
        <v>236</v>
      </c>
      <c r="B177" s="7" t="s">
        <v>236</v>
      </c>
      <c r="C177" s="7" t="s">
        <v>115</v>
      </c>
      <c r="D177" s="7" t="s">
        <v>232</v>
      </c>
      <c r="E177" s="7" t="s">
        <v>497</v>
      </c>
      <c r="F177" s="48">
        <v>0</v>
      </c>
      <c r="G177" s="48">
        <v>0</v>
      </c>
      <c r="H177" s="48">
        <v>0</v>
      </c>
      <c r="I177" s="48">
        <v>0</v>
      </c>
      <c r="J177" s="48">
        <v>-0.13</v>
      </c>
      <c r="K177" s="7" t="s">
        <v>104</v>
      </c>
      <c r="L177" s="7" t="s">
        <v>112</v>
      </c>
      <c r="M177" s="7" t="s">
        <v>498</v>
      </c>
      <c r="N177" s="7" t="s">
        <v>118</v>
      </c>
    </row>
    <row r="178" spans="1:14" x14ac:dyDescent="0.25">
      <c r="A178" s="7" t="s">
        <v>509</v>
      </c>
      <c r="B178" s="7" t="s">
        <v>509</v>
      </c>
      <c r="C178" s="7" t="s">
        <v>115</v>
      </c>
      <c r="D178" s="7" t="s">
        <v>232</v>
      </c>
      <c r="E178" s="7" t="s">
        <v>497</v>
      </c>
      <c r="F178" s="48">
        <v>0</v>
      </c>
      <c r="G178" s="48">
        <v>0</v>
      </c>
      <c r="H178" s="48">
        <v>0</v>
      </c>
      <c r="I178" s="48">
        <v>0</v>
      </c>
      <c r="J178" s="48">
        <v>-0.31</v>
      </c>
      <c r="K178" s="7" t="s">
        <v>104</v>
      </c>
      <c r="L178" s="7" t="s">
        <v>112</v>
      </c>
      <c r="M178" s="7" t="s">
        <v>498</v>
      </c>
      <c r="N178" s="7" t="s">
        <v>118</v>
      </c>
    </row>
    <row r="179" spans="1:14" x14ac:dyDescent="0.25">
      <c r="A179" s="7" t="s">
        <v>509</v>
      </c>
      <c r="B179" s="7" t="s">
        <v>509</v>
      </c>
      <c r="C179" s="7" t="s">
        <v>153</v>
      </c>
      <c r="D179" s="7" t="s">
        <v>232</v>
      </c>
      <c r="E179" s="7" t="s">
        <v>510</v>
      </c>
      <c r="F179" s="48">
        <v>0</v>
      </c>
      <c r="G179" s="48">
        <v>19</v>
      </c>
      <c r="H179" s="48">
        <v>0</v>
      </c>
      <c r="I179" s="48">
        <v>0</v>
      </c>
      <c r="J179" s="48">
        <v>-0.61</v>
      </c>
      <c r="K179" s="7" t="s">
        <v>104</v>
      </c>
      <c r="L179" s="7" t="s">
        <v>112</v>
      </c>
      <c r="M179" s="7" t="s">
        <v>166</v>
      </c>
      <c r="N179" s="7" t="s">
        <v>118</v>
      </c>
    </row>
    <row r="180" spans="1:14" x14ac:dyDescent="0.25">
      <c r="A180" s="7" t="s">
        <v>509</v>
      </c>
      <c r="B180" s="7" t="s">
        <v>509</v>
      </c>
      <c r="C180" s="7" t="s">
        <v>153</v>
      </c>
      <c r="D180" s="7" t="s">
        <v>232</v>
      </c>
      <c r="E180" s="7" t="s">
        <v>511</v>
      </c>
      <c r="F180" s="48">
        <v>0</v>
      </c>
      <c r="G180" s="48">
        <v>0.05</v>
      </c>
      <c r="H180" s="48">
        <v>0</v>
      </c>
      <c r="I180" s="48">
        <v>0</v>
      </c>
      <c r="J180" s="48">
        <v>3.26</v>
      </c>
      <c r="K180" s="7" t="s">
        <v>104</v>
      </c>
      <c r="L180" s="7" t="s">
        <v>112</v>
      </c>
      <c r="M180" s="7" t="s">
        <v>166</v>
      </c>
      <c r="N180" s="7" t="s">
        <v>118</v>
      </c>
    </row>
    <row r="181" spans="1:14" x14ac:dyDescent="0.25">
      <c r="A181" s="7" t="s">
        <v>512</v>
      </c>
      <c r="B181" s="7" t="s">
        <v>512</v>
      </c>
      <c r="C181" s="7" t="s">
        <v>115</v>
      </c>
      <c r="D181" s="7" t="s">
        <v>232</v>
      </c>
      <c r="E181" s="7" t="s">
        <v>497</v>
      </c>
      <c r="F181" s="48">
        <v>0</v>
      </c>
      <c r="G181" s="48">
        <v>0</v>
      </c>
      <c r="H181" s="48">
        <v>0</v>
      </c>
      <c r="I181" s="48">
        <v>0</v>
      </c>
      <c r="J181" s="48">
        <v>-0.09</v>
      </c>
      <c r="K181" s="7" t="s">
        <v>104</v>
      </c>
      <c r="L181" s="7" t="s">
        <v>112</v>
      </c>
      <c r="M181" s="7" t="s">
        <v>498</v>
      </c>
      <c r="N181" s="7" t="s">
        <v>118</v>
      </c>
    </row>
    <row r="182" spans="1:14" x14ac:dyDescent="0.25">
      <c r="A182" s="7" t="s">
        <v>512</v>
      </c>
      <c r="B182" s="7" t="s">
        <v>512</v>
      </c>
      <c r="C182" s="7" t="s">
        <v>153</v>
      </c>
      <c r="D182" s="7" t="s">
        <v>232</v>
      </c>
      <c r="E182" s="7" t="s">
        <v>513</v>
      </c>
      <c r="F182" s="48">
        <v>0</v>
      </c>
      <c r="G182" s="48">
        <v>19</v>
      </c>
      <c r="H182" s="48">
        <v>0</v>
      </c>
      <c r="I182" s="48">
        <v>0</v>
      </c>
      <c r="J182" s="48">
        <v>-0.62</v>
      </c>
      <c r="K182" s="7" t="s">
        <v>104</v>
      </c>
      <c r="L182" s="7" t="s">
        <v>112</v>
      </c>
      <c r="M182" s="7" t="s">
        <v>166</v>
      </c>
      <c r="N182" s="7" t="s">
        <v>118</v>
      </c>
    </row>
    <row r="183" spans="1:14" x14ac:dyDescent="0.25">
      <c r="A183" s="7" t="s">
        <v>512</v>
      </c>
      <c r="B183" s="7" t="s">
        <v>512</v>
      </c>
      <c r="C183" s="7" t="s">
        <v>153</v>
      </c>
      <c r="D183" s="7" t="s">
        <v>232</v>
      </c>
      <c r="E183" s="7" t="s">
        <v>514</v>
      </c>
      <c r="F183" s="48">
        <v>0</v>
      </c>
      <c r="G183" s="48">
        <v>0.05</v>
      </c>
      <c r="H183" s="48">
        <v>0</v>
      </c>
      <c r="I183" s="48">
        <v>0</v>
      </c>
      <c r="J183" s="48">
        <v>3.3</v>
      </c>
      <c r="K183" s="7" t="s">
        <v>104</v>
      </c>
      <c r="L183" s="7" t="s">
        <v>112</v>
      </c>
      <c r="M183" s="7" t="s">
        <v>166</v>
      </c>
      <c r="N183" s="7" t="s">
        <v>118</v>
      </c>
    </row>
    <row r="184" spans="1:14" x14ac:dyDescent="0.25">
      <c r="A184" s="7" t="s">
        <v>515</v>
      </c>
      <c r="B184" s="7" t="s">
        <v>515</v>
      </c>
      <c r="C184" s="7" t="s">
        <v>153</v>
      </c>
      <c r="D184" s="7" t="s">
        <v>232</v>
      </c>
      <c r="E184" s="7" t="s">
        <v>516</v>
      </c>
      <c r="F184" s="48">
        <v>0</v>
      </c>
      <c r="G184" s="48">
        <v>19</v>
      </c>
      <c r="H184" s="48">
        <v>0</v>
      </c>
      <c r="I184" s="48">
        <v>0</v>
      </c>
      <c r="J184" s="48">
        <v>-0.74</v>
      </c>
      <c r="K184" s="7" t="s">
        <v>104</v>
      </c>
      <c r="L184" s="7" t="s">
        <v>112</v>
      </c>
      <c r="M184" s="7" t="s">
        <v>166</v>
      </c>
      <c r="N184" s="7" t="s">
        <v>118</v>
      </c>
    </row>
    <row r="185" spans="1:14" x14ac:dyDescent="0.25">
      <c r="A185" s="7" t="s">
        <v>515</v>
      </c>
      <c r="B185" s="7" t="s">
        <v>515</v>
      </c>
      <c r="C185" s="7" t="s">
        <v>153</v>
      </c>
      <c r="D185" s="7" t="s">
        <v>232</v>
      </c>
      <c r="E185" s="7" t="s">
        <v>517</v>
      </c>
      <c r="F185" s="48">
        <v>0</v>
      </c>
      <c r="G185" s="48">
        <v>7.0000000000000007E-2</v>
      </c>
      <c r="H185" s="48">
        <v>0</v>
      </c>
      <c r="I185" s="48">
        <v>0</v>
      </c>
      <c r="J185" s="48">
        <v>3.91</v>
      </c>
      <c r="K185" s="7" t="s">
        <v>104</v>
      </c>
      <c r="L185" s="7" t="s">
        <v>112</v>
      </c>
      <c r="M185" s="7" t="s">
        <v>166</v>
      </c>
      <c r="N185" s="7" t="s">
        <v>118</v>
      </c>
    </row>
    <row r="186" spans="1:14" x14ac:dyDescent="0.25">
      <c r="A186" s="7" t="s">
        <v>518</v>
      </c>
      <c r="B186" s="7" t="s">
        <v>518</v>
      </c>
      <c r="C186" s="7" t="s">
        <v>115</v>
      </c>
      <c r="D186" s="7" t="s">
        <v>232</v>
      </c>
      <c r="E186" s="7" t="s">
        <v>497</v>
      </c>
      <c r="F186" s="48">
        <v>0</v>
      </c>
      <c r="G186" s="48">
        <v>0</v>
      </c>
      <c r="H186" s="48">
        <v>0</v>
      </c>
      <c r="I186" s="48">
        <v>0</v>
      </c>
      <c r="J186" s="48">
        <v>-0.55000000000000004</v>
      </c>
      <c r="K186" s="7" t="s">
        <v>104</v>
      </c>
      <c r="L186" s="7" t="s">
        <v>112</v>
      </c>
      <c r="M186" s="7" t="s">
        <v>498</v>
      </c>
      <c r="N186" s="7" t="s">
        <v>118</v>
      </c>
    </row>
    <row r="187" spans="1:14" x14ac:dyDescent="0.25">
      <c r="A187" s="7" t="s">
        <v>518</v>
      </c>
      <c r="B187" s="7" t="s">
        <v>518</v>
      </c>
      <c r="C187" s="7" t="s">
        <v>153</v>
      </c>
      <c r="D187" s="7" t="s">
        <v>232</v>
      </c>
      <c r="E187" s="7" t="s">
        <v>519</v>
      </c>
      <c r="F187" s="48">
        <v>0</v>
      </c>
      <c r="G187" s="48">
        <v>0.1</v>
      </c>
      <c r="H187" s="48">
        <v>0</v>
      </c>
      <c r="I187" s="48">
        <v>0</v>
      </c>
      <c r="J187" s="48">
        <v>5.93</v>
      </c>
      <c r="K187" s="7" t="s">
        <v>104</v>
      </c>
      <c r="L187" s="7" t="s">
        <v>112</v>
      </c>
      <c r="M187" s="7" t="s">
        <v>166</v>
      </c>
      <c r="N187" s="7" t="s">
        <v>118</v>
      </c>
    </row>
    <row r="188" spans="1:14" x14ac:dyDescent="0.25">
      <c r="A188" s="7" t="s">
        <v>520</v>
      </c>
      <c r="B188" s="7" t="s">
        <v>520</v>
      </c>
      <c r="C188" s="7" t="s">
        <v>521</v>
      </c>
      <c r="D188" s="7" t="s">
        <v>232</v>
      </c>
      <c r="E188" s="7" t="s">
        <v>522</v>
      </c>
      <c r="F188" s="48">
        <v>0</v>
      </c>
      <c r="G188" s="48">
        <v>0</v>
      </c>
      <c r="H188" s="48">
        <v>0</v>
      </c>
      <c r="I188" s="48">
        <v>0</v>
      </c>
      <c r="J188" s="48">
        <v>-0.02</v>
      </c>
      <c r="K188" s="7" t="s">
        <v>104</v>
      </c>
      <c r="L188" s="7" t="s">
        <v>112</v>
      </c>
      <c r="M188" s="7" t="s">
        <v>498</v>
      </c>
      <c r="N188" s="7" t="s">
        <v>118</v>
      </c>
    </row>
    <row r="189" spans="1:14" x14ac:dyDescent="0.25">
      <c r="A189" s="7" t="s">
        <v>523</v>
      </c>
      <c r="B189" s="7" t="s">
        <v>523</v>
      </c>
      <c r="C189" s="7" t="s">
        <v>488</v>
      </c>
      <c r="D189" s="7" t="s">
        <v>232</v>
      </c>
      <c r="E189" s="7" t="s">
        <v>524</v>
      </c>
      <c r="F189" s="48">
        <v>0</v>
      </c>
      <c r="G189" s="48">
        <v>0</v>
      </c>
      <c r="H189" s="48">
        <v>0</v>
      </c>
      <c r="I189" s="48">
        <v>0</v>
      </c>
      <c r="J189" s="48">
        <v>2.91</v>
      </c>
      <c r="K189" s="7" t="s">
        <v>104</v>
      </c>
      <c r="L189" s="7" t="s">
        <v>112</v>
      </c>
      <c r="M189" s="7" t="s">
        <v>491</v>
      </c>
      <c r="N189" s="7" t="s">
        <v>118</v>
      </c>
    </row>
    <row r="190" spans="1:14" x14ac:dyDescent="0.25">
      <c r="A190" s="7" t="s">
        <v>525</v>
      </c>
      <c r="B190" s="7" t="s">
        <v>525</v>
      </c>
      <c r="C190" s="7" t="s">
        <v>488</v>
      </c>
      <c r="D190" s="7" t="s">
        <v>232</v>
      </c>
      <c r="E190" s="7" t="s">
        <v>526</v>
      </c>
      <c r="F190" s="48">
        <v>0</v>
      </c>
      <c r="G190" s="48">
        <v>0</v>
      </c>
      <c r="H190" s="48">
        <v>0</v>
      </c>
      <c r="I190" s="48">
        <v>0</v>
      </c>
      <c r="J190" s="48">
        <v>2.4900000000000002</v>
      </c>
      <c r="K190" s="7" t="s">
        <v>104</v>
      </c>
      <c r="L190" s="7" t="s">
        <v>112</v>
      </c>
      <c r="M190" s="7" t="s">
        <v>491</v>
      </c>
      <c r="N190" s="7" t="s">
        <v>118</v>
      </c>
    </row>
    <row r="191" spans="1:14" x14ac:dyDescent="0.25">
      <c r="A191" s="7" t="s">
        <v>527</v>
      </c>
      <c r="B191" s="7" t="s">
        <v>527</v>
      </c>
      <c r="C191" s="7" t="s">
        <v>115</v>
      </c>
      <c r="D191" s="7" t="s">
        <v>232</v>
      </c>
      <c r="E191" s="7" t="s">
        <v>497</v>
      </c>
      <c r="F191" s="48">
        <v>0</v>
      </c>
      <c r="G191" s="48">
        <v>0</v>
      </c>
      <c r="H191" s="48">
        <v>0</v>
      </c>
      <c r="I191" s="48">
        <v>0</v>
      </c>
      <c r="J191" s="48">
        <v>-0.13</v>
      </c>
      <c r="K191" s="7" t="s">
        <v>104</v>
      </c>
      <c r="L191" s="7" t="s">
        <v>112</v>
      </c>
      <c r="M191" s="7" t="s">
        <v>498</v>
      </c>
      <c r="N191" s="7" t="s">
        <v>118</v>
      </c>
    </row>
    <row r="192" spans="1:14" x14ac:dyDescent="0.25">
      <c r="A192" s="7" t="s">
        <v>527</v>
      </c>
      <c r="B192" s="7" t="s">
        <v>527</v>
      </c>
      <c r="C192" s="7" t="s">
        <v>153</v>
      </c>
      <c r="D192" s="7" t="s">
        <v>232</v>
      </c>
      <c r="E192" s="7" t="s">
        <v>528</v>
      </c>
      <c r="F192" s="48">
        <v>0</v>
      </c>
      <c r="G192" s="48">
        <v>19</v>
      </c>
      <c r="H192" s="48">
        <v>0</v>
      </c>
      <c r="I192" s="48">
        <v>0</v>
      </c>
      <c r="J192" s="48">
        <v>-0.77</v>
      </c>
      <c r="K192" s="7" t="s">
        <v>104</v>
      </c>
      <c r="L192" s="7" t="s">
        <v>112</v>
      </c>
      <c r="M192" s="7" t="s">
        <v>166</v>
      </c>
      <c r="N192" s="7" t="s">
        <v>118</v>
      </c>
    </row>
    <row r="193" spans="1:14" x14ac:dyDescent="0.25">
      <c r="A193" s="7" t="s">
        <v>527</v>
      </c>
      <c r="B193" s="7" t="s">
        <v>527</v>
      </c>
      <c r="C193" s="7" t="s">
        <v>153</v>
      </c>
      <c r="D193" s="7" t="s">
        <v>232</v>
      </c>
      <c r="E193" s="7" t="s">
        <v>529</v>
      </c>
      <c r="F193" s="48">
        <v>0</v>
      </c>
      <c r="G193" s="48">
        <v>7.0000000000000007E-2</v>
      </c>
      <c r="H193" s="48">
        <v>0</v>
      </c>
      <c r="I193" s="48">
        <v>0</v>
      </c>
      <c r="J193" s="48">
        <v>4.0999999999999996</v>
      </c>
      <c r="K193" s="7" t="s">
        <v>104</v>
      </c>
      <c r="L193" s="7" t="s">
        <v>112</v>
      </c>
      <c r="M193" s="7" t="s">
        <v>166</v>
      </c>
      <c r="N193" s="7" t="s">
        <v>118</v>
      </c>
    </row>
    <row r="194" spans="1:14" x14ac:dyDescent="0.25">
      <c r="A194" s="7" t="s">
        <v>530</v>
      </c>
      <c r="B194" s="7" t="s">
        <v>530</v>
      </c>
      <c r="C194" s="7" t="s">
        <v>115</v>
      </c>
      <c r="D194" s="7" t="s">
        <v>232</v>
      </c>
      <c r="E194" s="7" t="s">
        <v>497</v>
      </c>
      <c r="F194" s="48">
        <v>0</v>
      </c>
      <c r="G194" s="48">
        <v>0</v>
      </c>
      <c r="H194" s="48">
        <v>0</v>
      </c>
      <c r="I194" s="48">
        <v>0</v>
      </c>
      <c r="J194" s="48">
        <v>-0.13</v>
      </c>
      <c r="K194" s="7" t="s">
        <v>104</v>
      </c>
      <c r="L194" s="7" t="s">
        <v>112</v>
      </c>
      <c r="M194" s="7" t="s">
        <v>498</v>
      </c>
      <c r="N194" s="7" t="s">
        <v>118</v>
      </c>
    </row>
    <row r="195" spans="1:14" x14ac:dyDescent="0.25">
      <c r="A195" s="7" t="s">
        <v>530</v>
      </c>
      <c r="B195" s="7" t="s">
        <v>530</v>
      </c>
      <c r="C195" s="7" t="s">
        <v>153</v>
      </c>
      <c r="D195" s="7" t="s">
        <v>232</v>
      </c>
      <c r="E195" s="7" t="s">
        <v>531</v>
      </c>
      <c r="F195" s="48">
        <v>0</v>
      </c>
      <c r="G195" s="48">
        <v>19</v>
      </c>
      <c r="H195" s="48">
        <v>0</v>
      </c>
      <c r="I195" s="48">
        <v>0</v>
      </c>
      <c r="J195" s="48">
        <v>-0.74</v>
      </c>
      <c r="K195" s="7" t="s">
        <v>104</v>
      </c>
      <c r="L195" s="7" t="s">
        <v>112</v>
      </c>
      <c r="M195" s="7" t="s">
        <v>166</v>
      </c>
      <c r="N195" s="7" t="s">
        <v>118</v>
      </c>
    </row>
    <row r="196" spans="1:14" x14ac:dyDescent="0.25">
      <c r="A196" s="7" t="s">
        <v>530</v>
      </c>
      <c r="B196" s="7" t="s">
        <v>530</v>
      </c>
      <c r="C196" s="7" t="s">
        <v>153</v>
      </c>
      <c r="D196" s="7" t="s">
        <v>232</v>
      </c>
      <c r="E196" s="7" t="s">
        <v>532</v>
      </c>
      <c r="F196" s="48">
        <v>0</v>
      </c>
      <c r="G196" s="48">
        <v>7.0000000000000007E-2</v>
      </c>
      <c r="H196" s="48">
        <v>0</v>
      </c>
      <c r="I196" s="48">
        <v>0</v>
      </c>
      <c r="J196" s="48">
        <v>3.94</v>
      </c>
      <c r="K196" s="7" t="s">
        <v>104</v>
      </c>
      <c r="L196" s="7" t="s">
        <v>112</v>
      </c>
      <c r="M196" s="7" t="s">
        <v>166</v>
      </c>
      <c r="N196" s="7" t="s">
        <v>118</v>
      </c>
    </row>
    <row r="197" spans="1:14" x14ac:dyDescent="0.25">
      <c r="A197" s="7" t="s">
        <v>533</v>
      </c>
      <c r="B197" s="7" t="s">
        <v>533</v>
      </c>
      <c r="C197" s="7" t="s">
        <v>115</v>
      </c>
      <c r="D197" s="7" t="s">
        <v>232</v>
      </c>
      <c r="E197" s="7" t="s">
        <v>497</v>
      </c>
      <c r="F197" s="48">
        <v>0</v>
      </c>
      <c r="G197" s="48">
        <v>0</v>
      </c>
      <c r="H197" s="48">
        <v>0</v>
      </c>
      <c r="I197" s="48">
        <v>0</v>
      </c>
      <c r="J197" s="48">
        <v>-0.13</v>
      </c>
      <c r="K197" s="7" t="s">
        <v>104</v>
      </c>
      <c r="L197" s="7" t="s">
        <v>112</v>
      </c>
      <c r="M197" s="7" t="s">
        <v>498</v>
      </c>
      <c r="N197" s="7" t="s">
        <v>118</v>
      </c>
    </row>
    <row r="198" spans="1:14" x14ac:dyDescent="0.25">
      <c r="A198" s="7" t="s">
        <v>533</v>
      </c>
      <c r="B198" s="7" t="s">
        <v>533</v>
      </c>
      <c r="C198" s="7" t="s">
        <v>153</v>
      </c>
      <c r="D198" s="7" t="s">
        <v>232</v>
      </c>
      <c r="E198" s="7" t="s">
        <v>534</v>
      </c>
      <c r="F198" s="48">
        <v>0</v>
      </c>
      <c r="G198" s="48">
        <v>19</v>
      </c>
      <c r="H198" s="48">
        <v>0</v>
      </c>
      <c r="I198" s="48">
        <v>0</v>
      </c>
      <c r="J198" s="48">
        <v>-0.78</v>
      </c>
      <c r="K198" s="7" t="s">
        <v>104</v>
      </c>
      <c r="L198" s="7" t="s">
        <v>112</v>
      </c>
      <c r="M198" s="7" t="s">
        <v>166</v>
      </c>
      <c r="N198" s="7" t="s">
        <v>118</v>
      </c>
    </row>
    <row r="199" spans="1:14" x14ac:dyDescent="0.25">
      <c r="A199" s="7" t="s">
        <v>533</v>
      </c>
      <c r="B199" s="7" t="s">
        <v>533</v>
      </c>
      <c r="C199" s="7" t="s">
        <v>153</v>
      </c>
      <c r="D199" s="7" t="s">
        <v>232</v>
      </c>
      <c r="E199" s="7" t="s">
        <v>535</v>
      </c>
      <c r="F199" s="48">
        <v>0</v>
      </c>
      <c r="G199" s="48">
        <v>7.0000000000000007E-2</v>
      </c>
      <c r="H199" s="48">
        <v>0</v>
      </c>
      <c r="I199" s="48">
        <v>0</v>
      </c>
      <c r="J199" s="48">
        <v>4.1500000000000004</v>
      </c>
      <c r="K199" s="7" t="s">
        <v>104</v>
      </c>
      <c r="L199" s="7" t="s">
        <v>112</v>
      </c>
      <c r="M199" s="7" t="s">
        <v>166</v>
      </c>
      <c r="N199" s="7" t="s">
        <v>118</v>
      </c>
    </row>
    <row r="200" spans="1:14" x14ac:dyDescent="0.25">
      <c r="A200" s="7" t="s">
        <v>536</v>
      </c>
      <c r="B200" s="7" t="s">
        <v>536</v>
      </c>
      <c r="C200" s="7" t="s">
        <v>537</v>
      </c>
      <c r="D200" s="7" t="s">
        <v>232</v>
      </c>
      <c r="E200" s="7" t="s">
        <v>538</v>
      </c>
      <c r="F200" s="48">
        <v>1</v>
      </c>
      <c r="G200" s="48">
        <v>0</v>
      </c>
      <c r="H200" s="48">
        <v>0</v>
      </c>
      <c r="I200" s="48">
        <v>0</v>
      </c>
      <c r="J200" s="48">
        <v>0</v>
      </c>
      <c r="K200" s="7" t="s">
        <v>104</v>
      </c>
      <c r="L200" s="7" t="s">
        <v>112</v>
      </c>
      <c r="M200" s="7" t="s">
        <v>166</v>
      </c>
      <c r="N200" s="7" t="s">
        <v>118</v>
      </c>
    </row>
    <row r="201" spans="1:14" x14ac:dyDescent="0.25">
      <c r="A201" s="7" t="s">
        <v>536</v>
      </c>
      <c r="B201" s="7" t="s">
        <v>536</v>
      </c>
      <c r="C201" s="7" t="s">
        <v>488</v>
      </c>
      <c r="D201" s="7" t="s">
        <v>232</v>
      </c>
      <c r="E201" s="7" t="s">
        <v>539</v>
      </c>
      <c r="F201" s="48">
        <v>0</v>
      </c>
      <c r="G201" s="48">
        <v>0</v>
      </c>
      <c r="H201" s="48">
        <v>0</v>
      </c>
      <c r="I201" s="48">
        <v>0</v>
      </c>
      <c r="J201" s="48">
        <v>0.39</v>
      </c>
      <c r="K201" s="7" t="s">
        <v>104</v>
      </c>
      <c r="L201" s="7" t="s">
        <v>112</v>
      </c>
      <c r="M201" s="7" t="s">
        <v>491</v>
      </c>
      <c r="N201" s="7" t="s">
        <v>118</v>
      </c>
    </row>
    <row r="202" spans="1:14" x14ac:dyDescent="0.25">
      <c r="A202" s="7" t="s">
        <v>540</v>
      </c>
      <c r="B202" s="7" t="s">
        <v>540</v>
      </c>
      <c r="C202" s="7" t="s">
        <v>163</v>
      </c>
      <c r="D202" s="7" t="s">
        <v>232</v>
      </c>
      <c r="E202" s="7" t="s">
        <v>541</v>
      </c>
      <c r="F202" s="48">
        <v>0</v>
      </c>
      <c r="G202" s="48">
        <v>0</v>
      </c>
      <c r="H202" s="48">
        <v>0</v>
      </c>
      <c r="I202" s="48">
        <v>0</v>
      </c>
      <c r="J202" s="48">
        <v>-0.04</v>
      </c>
      <c r="K202" s="7" t="s">
        <v>104</v>
      </c>
      <c r="L202" s="7" t="s">
        <v>112</v>
      </c>
      <c r="M202" s="7" t="s">
        <v>166</v>
      </c>
      <c r="N202" s="7" t="s">
        <v>118</v>
      </c>
    </row>
    <row r="203" spans="1:14" x14ac:dyDescent="0.25">
      <c r="A203" s="7" t="s">
        <v>542</v>
      </c>
      <c r="B203" s="7" t="s">
        <v>542</v>
      </c>
      <c r="C203" s="7" t="s">
        <v>537</v>
      </c>
      <c r="D203" s="7" t="s">
        <v>232</v>
      </c>
      <c r="E203" s="7" t="s">
        <v>543</v>
      </c>
      <c r="F203" s="48">
        <v>1</v>
      </c>
      <c r="G203" s="48">
        <v>0</v>
      </c>
      <c r="H203" s="48">
        <v>0</v>
      </c>
      <c r="I203" s="48">
        <v>0</v>
      </c>
      <c r="J203" s="48">
        <v>0</v>
      </c>
      <c r="K203" s="7" t="s">
        <v>104</v>
      </c>
      <c r="L203" s="7" t="s">
        <v>112</v>
      </c>
      <c r="M203" s="7" t="s">
        <v>166</v>
      </c>
      <c r="N203" s="7" t="s">
        <v>118</v>
      </c>
    </row>
    <row r="204" spans="1:14" x14ac:dyDescent="0.25">
      <c r="A204" s="7" t="s">
        <v>542</v>
      </c>
      <c r="B204" s="7" t="s">
        <v>542</v>
      </c>
      <c r="C204" s="7" t="s">
        <v>488</v>
      </c>
      <c r="D204" s="7" t="s">
        <v>232</v>
      </c>
      <c r="E204" s="7" t="s">
        <v>544</v>
      </c>
      <c r="F204" s="48">
        <v>0</v>
      </c>
      <c r="G204" s="48">
        <v>0</v>
      </c>
      <c r="H204" s="48">
        <v>0</v>
      </c>
      <c r="I204" s="48">
        <v>0</v>
      </c>
      <c r="J204" s="48">
        <v>0.64</v>
      </c>
      <c r="K204" s="7" t="s">
        <v>104</v>
      </c>
      <c r="L204" s="7" t="s">
        <v>112</v>
      </c>
      <c r="M204" s="7" t="s">
        <v>491</v>
      </c>
      <c r="N204" s="7" t="s">
        <v>118</v>
      </c>
    </row>
    <row r="205" spans="1:14" x14ac:dyDescent="0.25">
      <c r="A205" s="7" t="s">
        <v>442</v>
      </c>
      <c r="B205" s="7" t="s">
        <v>442</v>
      </c>
      <c r="C205" s="7" t="s">
        <v>537</v>
      </c>
      <c r="D205" s="7" t="s">
        <v>232</v>
      </c>
      <c r="E205" s="7" t="s">
        <v>545</v>
      </c>
      <c r="F205" s="48">
        <v>0</v>
      </c>
      <c r="G205" s="48">
        <v>0</v>
      </c>
      <c r="H205" s="48">
        <v>0</v>
      </c>
      <c r="I205" s="48">
        <v>0</v>
      </c>
      <c r="J205" s="48">
        <v>-0.04</v>
      </c>
      <c r="K205" s="7" t="s">
        <v>104</v>
      </c>
      <c r="L205" s="7" t="s">
        <v>112</v>
      </c>
      <c r="M205" s="7" t="s">
        <v>166</v>
      </c>
      <c r="N205" s="7" t="s">
        <v>118</v>
      </c>
    </row>
    <row r="206" spans="1:14" x14ac:dyDescent="0.25">
      <c r="A206" s="7" t="s">
        <v>546</v>
      </c>
      <c r="B206" s="7" t="s">
        <v>546</v>
      </c>
      <c r="C206" s="7" t="s">
        <v>537</v>
      </c>
      <c r="D206" s="7" t="s">
        <v>232</v>
      </c>
      <c r="E206" s="7" t="s">
        <v>547</v>
      </c>
      <c r="F206" s="48">
        <v>1</v>
      </c>
      <c r="G206" s="48">
        <v>0</v>
      </c>
      <c r="H206" s="48">
        <v>0</v>
      </c>
      <c r="I206" s="48">
        <v>0</v>
      </c>
      <c r="J206" s="48">
        <v>0</v>
      </c>
      <c r="K206" s="7" t="s">
        <v>104</v>
      </c>
      <c r="L206" s="7" t="s">
        <v>112</v>
      </c>
      <c r="M206" s="7" t="s">
        <v>166</v>
      </c>
      <c r="N206" s="7" t="s">
        <v>118</v>
      </c>
    </row>
    <row r="207" spans="1:14" x14ac:dyDescent="0.25">
      <c r="A207" s="7" t="s">
        <v>546</v>
      </c>
      <c r="B207" s="7" t="s">
        <v>546</v>
      </c>
      <c r="C207" s="7" t="s">
        <v>488</v>
      </c>
      <c r="D207" s="7" t="s">
        <v>232</v>
      </c>
      <c r="E207" s="7" t="s">
        <v>548</v>
      </c>
      <c r="F207" s="48">
        <v>0</v>
      </c>
      <c r="G207" s="48">
        <v>0</v>
      </c>
      <c r="H207" s="48">
        <v>0</v>
      </c>
      <c r="I207" s="48">
        <v>0</v>
      </c>
      <c r="J207" s="48">
        <v>1.07</v>
      </c>
      <c r="K207" s="7" t="s">
        <v>104</v>
      </c>
      <c r="L207" s="7" t="s">
        <v>112</v>
      </c>
      <c r="M207" s="7" t="s">
        <v>491</v>
      </c>
      <c r="N207" s="7" t="s">
        <v>118</v>
      </c>
    </row>
    <row r="208" spans="1:14" x14ac:dyDescent="0.25">
      <c r="A208" s="7" t="s">
        <v>549</v>
      </c>
      <c r="B208" s="7" t="s">
        <v>549</v>
      </c>
      <c r="C208" s="7" t="s">
        <v>521</v>
      </c>
      <c r="D208" s="7" t="s">
        <v>232</v>
      </c>
      <c r="E208" s="7" t="s">
        <v>550</v>
      </c>
      <c r="F208" s="48">
        <v>0</v>
      </c>
      <c r="G208" s="48">
        <v>0</v>
      </c>
      <c r="H208" s="48">
        <v>0</v>
      </c>
      <c r="I208" s="48">
        <v>0</v>
      </c>
      <c r="J208" s="48">
        <v>-0.04</v>
      </c>
      <c r="K208" s="7" t="s">
        <v>104</v>
      </c>
      <c r="L208" s="7" t="s">
        <v>112</v>
      </c>
      <c r="M208" s="7" t="s">
        <v>498</v>
      </c>
      <c r="N208" s="7" t="s">
        <v>118</v>
      </c>
    </row>
    <row r="209" spans="1:14" x14ac:dyDescent="0.25">
      <c r="A209" s="7" t="s">
        <v>551</v>
      </c>
      <c r="B209" s="7" t="s">
        <v>551</v>
      </c>
      <c r="C209" s="7" t="s">
        <v>537</v>
      </c>
      <c r="D209" s="7" t="s">
        <v>232</v>
      </c>
      <c r="E209" s="7" t="s">
        <v>552</v>
      </c>
      <c r="F209" s="48">
        <v>1</v>
      </c>
      <c r="G209" s="48">
        <v>0</v>
      </c>
      <c r="H209" s="48">
        <v>0</v>
      </c>
      <c r="I209" s="48">
        <v>0</v>
      </c>
      <c r="J209" s="48">
        <v>0</v>
      </c>
      <c r="K209" s="7" t="s">
        <v>104</v>
      </c>
      <c r="L209" s="7" t="s">
        <v>112</v>
      </c>
      <c r="M209" s="7" t="s">
        <v>166</v>
      </c>
      <c r="N209" s="7" t="s">
        <v>118</v>
      </c>
    </row>
    <row r="210" spans="1:14" x14ac:dyDescent="0.25">
      <c r="A210" s="7" t="s">
        <v>551</v>
      </c>
      <c r="B210" s="7" t="s">
        <v>551</v>
      </c>
      <c r="C210" s="7" t="s">
        <v>488</v>
      </c>
      <c r="D210" s="7" t="s">
        <v>232</v>
      </c>
      <c r="E210" s="7" t="s">
        <v>553</v>
      </c>
      <c r="F210" s="48">
        <v>0</v>
      </c>
      <c r="G210" s="48">
        <v>0</v>
      </c>
      <c r="H210" s="48">
        <v>0</v>
      </c>
      <c r="I210" s="48">
        <v>0</v>
      </c>
      <c r="J210" s="48">
        <v>1.39</v>
      </c>
      <c r="K210" s="7" t="s">
        <v>104</v>
      </c>
      <c r="L210" s="7" t="s">
        <v>112</v>
      </c>
      <c r="M210" s="7" t="s">
        <v>491</v>
      </c>
      <c r="N210" s="7" t="s">
        <v>118</v>
      </c>
    </row>
    <row r="211" spans="1:14" x14ac:dyDescent="0.25">
      <c r="A211" s="7" t="s">
        <v>436</v>
      </c>
      <c r="B211" s="7" t="s">
        <v>436</v>
      </c>
      <c r="C211" s="7" t="s">
        <v>521</v>
      </c>
      <c r="D211" s="7" t="s">
        <v>232</v>
      </c>
      <c r="E211" s="7" t="s">
        <v>554</v>
      </c>
      <c r="F211" s="48">
        <v>0</v>
      </c>
      <c r="G211" s="48">
        <v>0</v>
      </c>
      <c r="H211" s="48">
        <v>0</v>
      </c>
      <c r="I211" s="48">
        <v>0</v>
      </c>
      <c r="J211" s="48">
        <v>-0.04</v>
      </c>
      <c r="K211" s="7" t="s">
        <v>104</v>
      </c>
      <c r="L211" s="7" t="s">
        <v>112</v>
      </c>
      <c r="M211" s="7" t="s">
        <v>498</v>
      </c>
      <c r="N211" s="7" t="s">
        <v>118</v>
      </c>
    </row>
    <row r="212" spans="1:14" x14ac:dyDescent="0.25">
      <c r="A212" s="7" t="s">
        <v>555</v>
      </c>
      <c r="B212" s="7" t="s">
        <v>555</v>
      </c>
      <c r="C212" s="7" t="s">
        <v>488</v>
      </c>
      <c r="D212" s="7" t="s">
        <v>232</v>
      </c>
      <c r="E212" s="7" t="s">
        <v>556</v>
      </c>
      <c r="F212" s="48">
        <v>0</v>
      </c>
      <c r="G212" s="48">
        <v>0</v>
      </c>
      <c r="H212" s="48">
        <v>0</v>
      </c>
      <c r="I212" s="48">
        <v>0</v>
      </c>
      <c r="J212" s="48">
        <v>1.31</v>
      </c>
      <c r="K212" s="7" t="s">
        <v>104</v>
      </c>
      <c r="L212" s="7" t="s">
        <v>112</v>
      </c>
      <c r="M212" s="7" t="s">
        <v>491</v>
      </c>
      <c r="N212" s="7" t="s">
        <v>118</v>
      </c>
    </row>
    <row r="213" spans="1:14" x14ac:dyDescent="0.25">
      <c r="A213" s="7" t="s">
        <v>557</v>
      </c>
      <c r="B213" s="7" t="s">
        <v>557</v>
      </c>
      <c r="C213" s="7" t="s">
        <v>537</v>
      </c>
      <c r="D213" s="7" t="s">
        <v>232</v>
      </c>
      <c r="E213" s="7" t="s">
        <v>558</v>
      </c>
      <c r="F213" s="48">
        <v>1</v>
      </c>
      <c r="G213" s="48">
        <v>0</v>
      </c>
      <c r="H213" s="48">
        <v>0</v>
      </c>
      <c r="I213" s="48">
        <v>0</v>
      </c>
      <c r="J213" s="48">
        <v>0</v>
      </c>
      <c r="K213" s="7" t="s">
        <v>104</v>
      </c>
      <c r="L213" s="7" t="s">
        <v>112</v>
      </c>
      <c r="M213" s="7" t="s">
        <v>166</v>
      </c>
      <c r="N213" s="7" t="s">
        <v>118</v>
      </c>
    </row>
    <row r="214" spans="1:14" x14ac:dyDescent="0.25">
      <c r="A214" s="7" t="s">
        <v>559</v>
      </c>
      <c r="B214" s="7" t="s">
        <v>559</v>
      </c>
      <c r="C214" s="7" t="s">
        <v>115</v>
      </c>
      <c r="D214" s="7" t="s">
        <v>232</v>
      </c>
      <c r="E214" s="7" t="s">
        <v>497</v>
      </c>
      <c r="F214" s="48">
        <v>0</v>
      </c>
      <c r="G214" s="48">
        <v>0</v>
      </c>
      <c r="H214" s="48">
        <v>0</v>
      </c>
      <c r="I214" s="48">
        <v>0</v>
      </c>
      <c r="J214" s="48">
        <v>-0.13</v>
      </c>
      <c r="K214" s="7" t="s">
        <v>104</v>
      </c>
      <c r="L214" s="7" t="s">
        <v>112</v>
      </c>
      <c r="M214" s="7" t="s">
        <v>498</v>
      </c>
      <c r="N214" s="7" t="s">
        <v>118</v>
      </c>
    </row>
    <row r="215" spans="1:14" x14ac:dyDescent="0.25">
      <c r="A215" s="7" t="s">
        <v>559</v>
      </c>
      <c r="B215" s="7" t="s">
        <v>559</v>
      </c>
      <c r="C215" s="7" t="s">
        <v>153</v>
      </c>
      <c r="D215" s="7" t="s">
        <v>232</v>
      </c>
      <c r="E215" s="7" t="s">
        <v>560</v>
      </c>
      <c r="F215" s="48">
        <v>0</v>
      </c>
      <c r="G215" s="48">
        <v>19.5</v>
      </c>
      <c r="H215" s="48">
        <v>0</v>
      </c>
      <c r="I215" s="48">
        <v>0</v>
      </c>
      <c r="J215" s="48">
        <v>-0.57999999999999996</v>
      </c>
      <c r="K215" s="7" t="s">
        <v>104</v>
      </c>
      <c r="L215" s="7" t="s">
        <v>112</v>
      </c>
      <c r="M215" s="7" t="s">
        <v>166</v>
      </c>
      <c r="N215" s="7" t="s">
        <v>118</v>
      </c>
    </row>
    <row r="216" spans="1:14" x14ac:dyDescent="0.25">
      <c r="A216" s="7" t="s">
        <v>559</v>
      </c>
      <c r="B216" s="7" t="s">
        <v>559</v>
      </c>
      <c r="C216" s="7" t="s">
        <v>153</v>
      </c>
      <c r="D216" s="7" t="s">
        <v>232</v>
      </c>
      <c r="E216" s="7" t="s">
        <v>561</v>
      </c>
      <c r="F216" s="48">
        <v>0</v>
      </c>
      <c r="G216" s="48">
        <v>0.05</v>
      </c>
      <c r="H216" s="48">
        <v>0</v>
      </c>
      <c r="I216" s="48">
        <v>0</v>
      </c>
      <c r="J216" s="48">
        <v>3.01</v>
      </c>
      <c r="K216" s="7" t="s">
        <v>104</v>
      </c>
      <c r="L216" s="7" t="s">
        <v>112</v>
      </c>
      <c r="M216" s="7" t="s">
        <v>166</v>
      </c>
      <c r="N216" s="7" t="s">
        <v>118</v>
      </c>
    </row>
    <row r="217" spans="1:14" x14ac:dyDescent="0.25">
      <c r="A217" s="7" t="s">
        <v>562</v>
      </c>
      <c r="B217" s="7" t="s">
        <v>562</v>
      </c>
      <c r="C217" s="7" t="s">
        <v>115</v>
      </c>
      <c r="D217" s="7" t="s">
        <v>232</v>
      </c>
      <c r="E217" s="7" t="s">
        <v>497</v>
      </c>
      <c r="F217" s="48">
        <v>0</v>
      </c>
      <c r="G217" s="48">
        <v>0</v>
      </c>
      <c r="H217" s="48">
        <v>0</v>
      </c>
      <c r="I217" s="48">
        <v>0</v>
      </c>
      <c r="J217" s="48">
        <v>-0.13</v>
      </c>
      <c r="K217" s="7" t="s">
        <v>104</v>
      </c>
      <c r="L217" s="7" t="s">
        <v>112</v>
      </c>
      <c r="M217" s="7" t="s">
        <v>498</v>
      </c>
      <c r="N217" s="7" t="s">
        <v>118</v>
      </c>
    </row>
    <row r="218" spans="1:14" x14ac:dyDescent="0.25">
      <c r="A218" s="7" t="s">
        <v>562</v>
      </c>
      <c r="B218" s="7" t="s">
        <v>562</v>
      </c>
      <c r="C218" s="7" t="s">
        <v>153</v>
      </c>
      <c r="D218" s="7" t="s">
        <v>232</v>
      </c>
      <c r="E218" s="7" t="s">
        <v>563</v>
      </c>
      <c r="F218" s="48">
        <v>0</v>
      </c>
      <c r="G218" s="48">
        <v>19</v>
      </c>
      <c r="H218" s="48">
        <v>0</v>
      </c>
      <c r="I218" s="48">
        <v>0</v>
      </c>
      <c r="J218" s="48">
        <v>-0.56000000000000005</v>
      </c>
      <c r="K218" s="7" t="s">
        <v>104</v>
      </c>
      <c r="L218" s="7" t="s">
        <v>112</v>
      </c>
      <c r="M218" s="7" t="s">
        <v>166</v>
      </c>
      <c r="N218" s="7" t="s">
        <v>118</v>
      </c>
    </row>
    <row r="219" spans="1:14" x14ac:dyDescent="0.25">
      <c r="A219" s="7" t="s">
        <v>562</v>
      </c>
      <c r="B219" s="7" t="s">
        <v>562</v>
      </c>
      <c r="C219" s="7" t="s">
        <v>153</v>
      </c>
      <c r="D219" s="7" t="s">
        <v>232</v>
      </c>
      <c r="E219" s="7" t="s">
        <v>564</v>
      </c>
      <c r="F219" s="48">
        <v>0</v>
      </c>
      <c r="G219" s="48">
        <v>0.05</v>
      </c>
      <c r="H219" s="48">
        <v>0</v>
      </c>
      <c r="I219" s="48">
        <v>0</v>
      </c>
      <c r="J219" s="48">
        <v>2.99</v>
      </c>
      <c r="K219" s="7" t="s">
        <v>104</v>
      </c>
      <c r="L219" s="7" t="s">
        <v>112</v>
      </c>
      <c r="M219" s="7" t="s">
        <v>166</v>
      </c>
      <c r="N219" s="7" t="s">
        <v>118</v>
      </c>
    </row>
    <row r="220" spans="1:14" x14ac:dyDescent="0.25">
      <c r="A220" s="7" t="s">
        <v>565</v>
      </c>
      <c r="B220" s="7" t="s">
        <v>565</v>
      </c>
      <c r="C220" s="7" t="s">
        <v>521</v>
      </c>
      <c r="D220" s="7" t="s">
        <v>232</v>
      </c>
      <c r="E220" s="7" t="s">
        <v>566</v>
      </c>
      <c r="F220" s="48">
        <v>0</v>
      </c>
      <c r="G220" s="48">
        <v>0</v>
      </c>
      <c r="H220" s="48">
        <v>0</v>
      </c>
      <c r="I220" s="48">
        <v>0</v>
      </c>
      <c r="J220" s="48">
        <v>-0.02</v>
      </c>
      <c r="K220" s="7" t="s">
        <v>104</v>
      </c>
      <c r="L220" s="7" t="s">
        <v>112</v>
      </c>
      <c r="M220" s="7" t="s">
        <v>498</v>
      </c>
      <c r="N220" s="7" t="s">
        <v>118</v>
      </c>
    </row>
    <row r="221" spans="1:14" x14ac:dyDescent="0.25">
      <c r="A221" s="7" t="s">
        <v>567</v>
      </c>
      <c r="B221" s="7" t="s">
        <v>567</v>
      </c>
      <c r="C221" s="7" t="s">
        <v>488</v>
      </c>
      <c r="D221" s="7" t="s">
        <v>232</v>
      </c>
      <c r="E221" s="7" t="s">
        <v>568</v>
      </c>
      <c r="F221" s="48">
        <v>0</v>
      </c>
      <c r="G221" s="48">
        <v>0</v>
      </c>
      <c r="H221" s="48">
        <v>0</v>
      </c>
      <c r="I221" s="48">
        <v>0</v>
      </c>
      <c r="J221" s="48">
        <v>2.83</v>
      </c>
      <c r="K221" s="7" t="s">
        <v>104</v>
      </c>
      <c r="L221" s="7" t="s">
        <v>112</v>
      </c>
      <c r="M221" s="7" t="s">
        <v>491</v>
      </c>
      <c r="N221" s="7" t="s">
        <v>118</v>
      </c>
    </row>
    <row r="222" spans="1:14" x14ac:dyDescent="0.25">
      <c r="A222" s="7" t="s">
        <v>492</v>
      </c>
      <c r="B222" s="7" t="s">
        <v>492</v>
      </c>
      <c r="C222" s="7" t="s">
        <v>493</v>
      </c>
      <c r="D222" s="7" t="s">
        <v>569</v>
      </c>
      <c r="E222" s="7" t="s">
        <v>570</v>
      </c>
      <c r="F222" s="48">
        <v>1</v>
      </c>
      <c r="G222" s="48">
        <v>0</v>
      </c>
      <c r="H222" s="48">
        <v>0</v>
      </c>
      <c r="I222" s="48">
        <v>0</v>
      </c>
      <c r="J222" s="48">
        <v>0</v>
      </c>
      <c r="K222" s="7" t="s">
        <v>104</v>
      </c>
      <c r="L222" s="7" t="s">
        <v>112</v>
      </c>
      <c r="M222" s="7" t="s">
        <v>491</v>
      </c>
      <c r="N222" s="7" t="s">
        <v>118</v>
      </c>
    </row>
    <row r="223" spans="1:14" x14ac:dyDescent="0.25">
      <c r="A223" s="7" t="s">
        <v>571</v>
      </c>
      <c r="B223" s="7" t="s">
        <v>571</v>
      </c>
      <c r="C223" s="7" t="s">
        <v>153</v>
      </c>
      <c r="D223" s="7" t="s">
        <v>239</v>
      </c>
      <c r="E223" s="7" t="s">
        <v>572</v>
      </c>
      <c r="F223" s="48">
        <v>0</v>
      </c>
      <c r="G223" s="48">
        <v>7.0000000000000007E-2</v>
      </c>
      <c r="H223" s="48">
        <v>0</v>
      </c>
      <c r="I223" s="48">
        <v>0</v>
      </c>
      <c r="J223" s="48">
        <v>5.48</v>
      </c>
      <c r="K223" s="7" t="s">
        <v>104</v>
      </c>
      <c r="L223" s="7" t="s">
        <v>112</v>
      </c>
      <c r="M223" s="7" t="s">
        <v>166</v>
      </c>
      <c r="N223" s="7" t="s">
        <v>118</v>
      </c>
    </row>
    <row r="224" spans="1:14" x14ac:dyDescent="0.25">
      <c r="A224" s="7" t="s">
        <v>573</v>
      </c>
      <c r="B224" s="7" t="s">
        <v>573</v>
      </c>
      <c r="C224" s="7" t="s">
        <v>153</v>
      </c>
      <c r="D224" s="7" t="s">
        <v>239</v>
      </c>
      <c r="E224" s="7" t="s">
        <v>574</v>
      </c>
      <c r="F224" s="48">
        <v>0</v>
      </c>
      <c r="G224" s="48">
        <v>0.22</v>
      </c>
      <c r="H224" s="48">
        <v>0</v>
      </c>
      <c r="I224" s="48">
        <v>0</v>
      </c>
      <c r="J224" s="48">
        <v>15.52</v>
      </c>
      <c r="K224" s="7" t="s">
        <v>104</v>
      </c>
      <c r="L224" s="7" t="s">
        <v>112</v>
      </c>
      <c r="M224" s="7" t="s">
        <v>166</v>
      </c>
      <c r="N224" s="7" t="s">
        <v>118</v>
      </c>
    </row>
    <row r="225" spans="1:14" x14ac:dyDescent="0.25">
      <c r="A225" s="7" t="s">
        <v>575</v>
      </c>
      <c r="B225" s="7" t="s">
        <v>575</v>
      </c>
      <c r="C225" s="7" t="s">
        <v>153</v>
      </c>
      <c r="D225" s="7" t="s">
        <v>239</v>
      </c>
      <c r="E225" s="7" t="s">
        <v>576</v>
      </c>
      <c r="F225" s="48">
        <v>0</v>
      </c>
      <c r="G225" s="48">
        <v>0.22</v>
      </c>
      <c r="H225" s="48">
        <v>0</v>
      </c>
      <c r="I225" s="48">
        <v>0</v>
      </c>
      <c r="J225" s="48">
        <v>15.4</v>
      </c>
      <c r="K225" s="7" t="s">
        <v>104</v>
      </c>
      <c r="L225" s="7" t="s">
        <v>112</v>
      </c>
      <c r="M225" s="7" t="s">
        <v>166</v>
      </c>
      <c r="N225" s="7" t="s">
        <v>118</v>
      </c>
    </row>
    <row r="226" spans="1:14" x14ac:dyDescent="0.25">
      <c r="A226" s="7" t="s">
        <v>577</v>
      </c>
      <c r="B226" s="7" t="s">
        <v>577</v>
      </c>
      <c r="C226" s="7" t="s">
        <v>153</v>
      </c>
      <c r="D226" s="7" t="s">
        <v>239</v>
      </c>
      <c r="E226" s="7" t="s">
        <v>578</v>
      </c>
      <c r="F226" s="48">
        <v>0</v>
      </c>
      <c r="G226" s="48">
        <v>0.25</v>
      </c>
      <c r="H226" s="48">
        <v>0</v>
      </c>
      <c r="I226" s="48">
        <v>0</v>
      </c>
      <c r="J226" s="48">
        <v>17.5</v>
      </c>
      <c r="K226" s="7" t="s">
        <v>104</v>
      </c>
      <c r="L226" s="7" t="s">
        <v>112</v>
      </c>
      <c r="M226" s="7" t="s">
        <v>166</v>
      </c>
      <c r="N226" s="7" t="s">
        <v>118</v>
      </c>
    </row>
    <row r="227" spans="1:14" x14ac:dyDescent="0.25">
      <c r="A227" s="7" t="s">
        <v>579</v>
      </c>
      <c r="B227" s="7" t="s">
        <v>579</v>
      </c>
      <c r="C227" s="7" t="s">
        <v>153</v>
      </c>
      <c r="D227" s="7" t="s">
        <v>239</v>
      </c>
      <c r="E227" s="7" t="s">
        <v>580</v>
      </c>
      <c r="F227" s="48">
        <v>0</v>
      </c>
      <c r="G227" s="48">
        <v>0.3</v>
      </c>
      <c r="H227" s="48">
        <v>0</v>
      </c>
      <c r="I227" s="48">
        <v>0</v>
      </c>
      <c r="J227" s="48">
        <v>21</v>
      </c>
      <c r="K227" s="7" t="s">
        <v>104</v>
      </c>
      <c r="L227" s="7" t="s">
        <v>112</v>
      </c>
      <c r="M227" s="7" t="s">
        <v>166</v>
      </c>
      <c r="N227" s="7" t="s">
        <v>118</v>
      </c>
    </row>
    <row r="228" spans="1:14" x14ac:dyDescent="0.25">
      <c r="A228" s="7" t="s">
        <v>581</v>
      </c>
      <c r="B228" s="7" t="s">
        <v>581</v>
      </c>
      <c r="C228" s="7" t="s">
        <v>153</v>
      </c>
      <c r="D228" s="7" t="s">
        <v>239</v>
      </c>
      <c r="E228" s="7" t="s">
        <v>582</v>
      </c>
      <c r="F228" s="48">
        <v>0</v>
      </c>
      <c r="G228" s="48">
        <v>0.3</v>
      </c>
      <c r="H228" s="48">
        <v>0</v>
      </c>
      <c r="I228" s="48">
        <v>0</v>
      </c>
      <c r="J228" s="48">
        <v>21</v>
      </c>
      <c r="K228" s="7" t="s">
        <v>104</v>
      </c>
      <c r="L228" s="7" t="s">
        <v>112</v>
      </c>
      <c r="M228" s="7" t="s">
        <v>166</v>
      </c>
      <c r="N228" s="7" t="s">
        <v>118</v>
      </c>
    </row>
    <row r="229" spans="1:14" x14ac:dyDescent="0.25">
      <c r="A229" s="7" t="s">
        <v>583</v>
      </c>
      <c r="B229" s="7" t="s">
        <v>583</v>
      </c>
      <c r="C229" s="7" t="s">
        <v>153</v>
      </c>
      <c r="D229" s="7" t="s">
        <v>239</v>
      </c>
      <c r="E229" s="7" t="s">
        <v>584</v>
      </c>
      <c r="F229" s="48">
        <v>0</v>
      </c>
      <c r="G229" s="48">
        <v>0.3</v>
      </c>
      <c r="H229" s="48">
        <v>0</v>
      </c>
      <c r="I229" s="48">
        <v>0</v>
      </c>
      <c r="J229" s="48">
        <v>21</v>
      </c>
      <c r="K229" s="7" t="s">
        <v>104</v>
      </c>
      <c r="L229" s="7" t="s">
        <v>112</v>
      </c>
      <c r="M229" s="7" t="s">
        <v>166</v>
      </c>
      <c r="N229" s="7" t="s">
        <v>118</v>
      </c>
    </row>
    <row r="230" spans="1:14" x14ac:dyDescent="0.25">
      <c r="A230" s="7" t="s">
        <v>585</v>
      </c>
      <c r="B230" s="7" t="s">
        <v>585</v>
      </c>
      <c r="C230" s="7" t="s">
        <v>153</v>
      </c>
      <c r="D230" s="7" t="s">
        <v>239</v>
      </c>
      <c r="E230" s="7" t="s">
        <v>586</v>
      </c>
      <c r="F230" s="48">
        <v>0</v>
      </c>
      <c r="G230" s="48">
        <v>0.3</v>
      </c>
      <c r="H230" s="48">
        <v>0</v>
      </c>
      <c r="I230" s="48">
        <v>0</v>
      </c>
      <c r="J230" s="48">
        <v>21</v>
      </c>
      <c r="K230" s="7" t="s">
        <v>104</v>
      </c>
      <c r="L230" s="7" t="s">
        <v>112</v>
      </c>
      <c r="M230" s="7" t="s">
        <v>166</v>
      </c>
      <c r="N230" s="7" t="s">
        <v>118</v>
      </c>
    </row>
    <row r="231" spans="1:14" x14ac:dyDescent="0.25">
      <c r="A231" s="7" t="s">
        <v>587</v>
      </c>
      <c r="B231" s="7" t="s">
        <v>587</v>
      </c>
      <c r="C231" s="7" t="s">
        <v>153</v>
      </c>
      <c r="D231" s="7" t="s">
        <v>239</v>
      </c>
      <c r="E231" s="7" t="s">
        <v>588</v>
      </c>
      <c r="F231" s="48">
        <v>0</v>
      </c>
      <c r="G231" s="48">
        <v>0.26</v>
      </c>
      <c r="H231" s="48">
        <v>0</v>
      </c>
      <c r="I231" s="48">
        <v>0</v>
      </c>
      <c r="J231" s="48">
        <v>18.489999999999998</v>
      </c>
      <c r="K231" s="7" t="s">
        <v>104</v>
      </c>
      <c r="L231" s="7" t="s">
        <v>112</v>
      </c>
      <c r="M231" s="7" t="s">
        <v>166</v>
      </c>
      <c r="N231" s="7" t="s">
        <v>118</v>
      </c>
    </row>
    <row r="232" spans="1:14" x14ac:dyDescent="0.25">
      <c r="A232" s="7" t="s">
        <v>589</v>
      </c>
      <c r="B232" s="7" t="s">
        <v>589</v>
      </c>
      <c r="C232" s="7" t="s">
        <v>153</v>
      </c>
      <c r="D232" s="7" t="s">
        <v>239</v>
      </c>
      <c r="E232" s="7" t="s">
        <v>590</v>
      </c>
      <c r="F232" s="48">
        <v>0</v>
      </c>
      <c r="G232" s="48">
        <v>0.3</v>
      </c>
      <c r="H232" s="48">
        <v>0</v>
      </c>
      <c r="I232" s="48">
        <v>0</v>
      </c>
      <c r="J232" s="48">
        <v>21</v>
      </c>
      <c r="K232" s="7" t="s">
        <v>104</v>
      </c>
      <c r="L232" s="7" t="s">
        <v>112</v>
      </c>
      <c r="M232" s="7" t="s">
        <v>166</v>
      </c>
      <c r="N232" s="7" t="s">
        <v>118</v>
      </c>
    </row>
    <row r="233" spans="1:14" x14ac:dyDescent="0.25">
      <c r="A233" s="7" t="s">
        <v>591</v>
      </c>
      <c r="B233" s="7" t="s">
        <v>591</v>
      </c>
      <c r="C233" s="7" t="s">
        <v>153</v>
      </c>
      <c r="D233" s="7" t="s">
        <v>239</v>
      </c>
      <c r="E233" s="7" t="s">
        <v>592</v>
      </c>
      <c r="F233" s="48">
        <v>0</v>
      </c>
      <c r="G233" s="48">
        <v>0.3</v>
      </c>
      <c r="H233" s="48">
        <v>0</v>
      </c>
      <c r="I233" s="48">
        <v>0</v>
      </c>
      <c r="J233" s="48">
        <v>21</v>
      </c>
      <c r="K233" s="7" t="s">
        <v>104</v>
      </c>
      <c r="L233" s="7" t="s">
        <v>112</v>
      </c>
      <c r="M233" s="7" t="s">
        <v>166</v>
      </c>
      <c r="N233" s="7" t="s">
        <v>118</v>
      </c>
    </row>
    <row r="234" spans="1:14" x14ac:dyDescent="0.25">
      <c r="A234" s="7" t="s">
        <v>593</v>
      </c>
      <c r="B234" s="7" t="s">
        <v>593</v>
      </c>
      <c r="C234" s="7" t="s">
        <v>153</v>
      </c>
      <c r="D234" s="7" t="s">
        <v>239</v>
      </c>
      <c r="E234" s="7" t="s">
        <v>594</v>
      </c>
      <c r="F234" s="48">
        <v>0</v>
      </c>
      <c r="G234" s="48">
        <v>0.3</v>
      </c>
      <c r="H234" s="48">
        <v>0</v>
      </c>
      <c r="I234" s="48">
        <v>0</v>
      </c>
      <c r="J234" s="48">
        <v>21</v>
      </c>
      <c r="K234" s="7" t="s">
        <v>104</v>
      </c>
      <c r="L234" s="7" t="s">
        <v>112</v>
      </c>
      <c r="M234" s="7" t="s">
        <v>166</v>
      </c>
      <c r="N234" s="7" t="s">
        <v>118</v>
      </c>
    </row>
    <row r="235" spans="1:14" x14ac:dyDescent="0.25">
      <c r="A235" s="7" t="s">
        <v>595</v>
      </c>
      <c r="B235" s="7" t="s">
        <v>595</v>
      </c>
      <c r="C235" s="7" t="s">
        <v>153</v>
      </c>
      <c r="D235" s="7" t="s">
        <v>239</v>
      </c>
      <c r="E235" s="7" t="s">
        <v>596</v>
      </c>
      <c r="F235" s="48">
        <v>0</v>
      </c>
      <c r="G235" s="48">
        <v>0.3</v>
      </c>
      <c r="H235" s="48">
        <v>0</v>
      </c>
      <c r="I235" s="48">
        <v>0</v>
      </c>
      <c r="J235" s="48">
        <v>21</v>
      </c>
      <c r="K235" s="7" t="s">
        <v>104</v>
      </c>
      <c r="L235" s="7" t="s">
        <v>112</v>
      </c>
      <c r="M235" s="7" t="s">
        <v>166</v>
      </c>
      <c r="N235" s="7" t="s">
        <v>118</v>
      </c>
    </row>
    <row r="236" spans="1:14" x14ac:dyDescent="0.25">
      <c r="A236" s="7" t="s">
        <v>597</v>
      </c>
      <c r="B236" s="7" t="s">
        <v>597</v>
      </c>
      <c r="C236" s="7" t="s">
        <v>153</v>
      </c>
      <c r="D236" s="7" t="s">
        <v>239</v>
      </c>
      <c r="E236" s="7" t="s">
        <v>598</v>
      </c>
      <c r="F236" s="48">
        <v>0</v>
      </c>
      <c r="G236" s="48">
        <v>0.03</v>
      </c>
      <c r="H236" s="48">
        <v>0</v>
      </c>
      <c r="I236" s="48">
        <v>0</v>
      </c>
      <c r="J236" s="48">
        <v>2.5099999999999998</v>
      </c>
      <c r="K236" s="7" t="s">
        <v>104</v>
      </c>
      <c r="L236" s="7" t="s">
        <v>112</v>
      </c>
      <c r="M236" s="7" t="s">
        <v>166</v>
      </c>
      <c r="N236" s="7" t="s">
        <v>118</v>
      </c>
    </row>
    <row r="237" spans="1:14" x14ac:dyDescent="0.25">
      <c r="A237" s="7" t="s">
        <v>599</v>
      </c>
      <c r="B237" s="7" t="s">
        <v>599</v>
      </c>
      <c r="C237" s="7" t="s">
        <v>153</v>
      </c>
      <c r="D237" s="7" t="s">
        <v>239</v>
      </c>
      <c r="E237" s="7" t="s">
        <v>600</v>
      </c>
      <c r="F237" s="48">
        <v>0</v>
      </c>
      <c r="G237" s="48">
        <v>0.3</v>
      </c>
      <c r="H237" s="48">
        <v>0</v>
      </c>
      <c r="I237" s="48">
        <v>0</v>
      </c>
      <c r="J237" s="48">
        <v>21</v>
      </c>
      <c r="K237" s="7" t="s">
        <v>104</v>
      </c>
      <c r="L237" s="7" t="s">
        <v>112</v>
      </c>
      <c r="M237" s="7" t="s">
        <v>166</v>
      </c>
      <c r="N237" s="7" t="s">
        <v>118</v>
      </c>
    </row>
    <row r="238" spans="1:14" x14ac:dyDescent="0.25">
      <c r="A238" s="7" t="s">
        <v>601</v>
      </c>
      <c r="B238" s="7" t="s">
        <v>601</v>
      </c>
      <c r="C238" s="7" t="s">
        <v>153</v>
      </c>
      <c r="D238" s="7" t="s">
        <v>239</v>
      </c>
      <c r="E238" s="7" t="s">
        <v>602</v>
      </c>
      <c r="F238" s="48">
        <v>0</v>
      </c>
      <c r="G238" s="48">
        <v>0.3</v>
      </c>
      <c r="H238" s="48">
        <v>0</v>
      </c>
      <c r="I238" s="48">
        <v>0</v>
      </c>
      <c r="J238" s="48">
        <v>21</v>
      </c>
      <c r="K238" s="7" t="s">
        <v>104</v>
      </c>
      <c r="L238" s="7" t="s">
        <v>112</v>
      </c>
      <c r="M238" s="7" t="s">
        <v>166</v>
      </c>
      <c r="N238" s="7" t="s">
        <v>118</v>
      </c>
    </row>
    <row r="239" spans="1:14" x14ac:dyDescent="0.25">
      <c r="A239" s="7" t="s">
        <v>603</v>
      </c>
      <c r="B239" s="7" t="s">
        <v>603</v>
      </c>
      <c r="C239" s="7" t="s">
        <v>153</v>
      </c>
      <c r="D239" s="7" t="s">
        <v>239</v>
      </c>
      <c r="E239" s="7" t="s">
        <v>604</v>
      </c>
      <c r="F239" s="48">
        <v>0</v>
      </c>
      <c r="G239" s="48">
        <v>0.3</v>
      </c>
      <c r="H239" s="48">
        <v>0</v>
      </c>
      <c r="I239" s="48">
        <v>0</v>
      </c>
      <c r="J239" s="48">
        <v>21</v>
      </c>
      <c r="K239" s="7" t="s">
        <v>104</v>
      </c>
      <c r="L239" s="7" t="s">
        <v>112</v>
      </c>
      <c r="M239" s="7" t="s">
        <v>166</v>
      </c>
      <c r="N239" s="7" t="s">
        <v>118</v>
      </c>
    </row>
    <row r="240" spans="1:14" x14ac:dyDescent="0.25">
      <c r="A240" s="7" t="s">
        <v>605</v>
      </c>
      <c r="B240" s="7" t="s">
        <v>605</v>
      </c>
      <c r="C240" s="7" t="s">
        <v>153</v>
      </c>
      <c r="D240" s="7" t="s">
        <v>239</v>
      </c>
      <c r="E240" s="7" t="s">
        <v>606</v>
      </c>
      <c r="F240" s="48">
        <v>0</v>
      </c>
      <c r="G240" s="48">
        <v>0.3</v>
      </c>
      <c r="H240" s="48">
        <v>0</v>
      </c>
      <c r="I240" s="48">
        <v>0</v>
      </c>
      <c r="J240" s="48">
        <v>21</v>
      </c>
      <c r="K240" s="7" t="s">
        <v>104</v>
      </c>
      <c r="L240" s="7" t="s">
        <v>112</v>
      </c>
      <c r="M240" s="7" t="s">
        <v>166</v>
      </c>
      <c r="N240" s="7" t="s">
        <v>118</v>
      </c>
    </row>
    <row r="241" spans="1:14" x14ac:dyDescent="0.25">
      <c r="A241" s="7" t="s">
        <v>607</v>
      </c>
      <c r="B241" s="7" t="s">
        <v>607</v>
      </c>
      <c r="C241" s="7" t="s">
        <v>153</v>
      </c>
      <c r="D241" s="7" t="s">
        <v>239</v>
      </c>
      <c r="E241" s="7" t="s">
        <v>608</v>
      </c>
      <c r="F241" s="48">
        <v>0</v>
      </c>
      <c r="G241" s="48">
        <v>0.3</v>
      </c>
      <c r="H241" s="48">
        <v>0</v>
      </c>
      <c r="I241" s="48">
        <v>0</v>
      </c>
      <c r="J241" s="48">
        <v>21</v>
      </c>
      <c r="K241" s="7" t="s">
        <v>104</v>
      </c>
      <c r="L241" s="7" t="s">
        <v>112</v>
      </c>
      <c r="M241" s="7" t="s">
        <v>166</v>
      </c>
      <c r="N241" s="7" t="s">
        <v>118</v>
      </c>
    </row>
    <row r="242" spans="1:14" x14ac:dyDescent="0.25">
      <c r="A242" s="7" t="s">
        <v>609</v>
      </c>
      <c r="B242" s="7" t="s">
        <v>609</v>
      </c>
      <c r="C242" s="7" t="s">
        <v>153</v>
      </c>
      <c r="D242" s="7" t="s">
        <v>239</v>
      </c>
      <c r="E242" s="7" t="s">
        <v>610</v>
      </c>
      <c r="F242" s="48">
        <v>0</v>
      </c>
      <c r="G242" s="48">
        <v>0.3</v>
      </c>
      <c r="H242" s="48">
        <v>0</v>
      </c>
      <c r="I242" s="48">
        <v>0</v>
      </c>
      <c r="J242" s="48">
        <v>21</v>
      </c>
      <c r="K242" s="7" t="s">
        <v>104</v>
      </c>
      <c r="L242" s="7" t="s">
        <v>112</v>
      </c>
      <c r="M242" s="7" t="s">
        <v>166</v>
      </c>
      <c r="N242" s="7" t="s">
        <v>118</v>
      </c>
    </row>
    <row r="243" spans="1:14" x14ac:dyDescent="0.25">
      <c r="A243" s="7" t="s">
        <v>611</v>
      </c>
      <c r="B243" s="7" t="s">
        <v>611</v>
      </c>
      <c r="C243" s="7" t="s">
        <v>612</v>
      </c>
      <c r="D243" s="7" t="s">
        <v>613</v>
      </c>
      <c r="E243" s="7" t="s">
        <v>614</v>
      </c>
      <c r="F243" s="48">
        <v>-3</v>
      </c>
      <c r="G243" s="48">
        <v>0</v>
      </c>
      <c r="H243" s="48">
        <v>0</v>
      </c>
      <c r="I243" s="48">
        <v>0</v>
      </c>
      <c r="J243" s="48">
        <v>0</v>
      </c>
      <c r="K243" s="7" t="s">
        <v>104</v>
      </c>
      <c r="L243" s="7" t="s">
        <v>112</v>
      </c>
      <c r="M243" s="7" t="s">
        <v>615</v>
      </c>
      <c r="N243" s="7" t="s">
        <v>118</v>
      </c>
    </row>
    <row r="244" spans="1:14" x14ac:dyDescent="0.25">
      <c r="A244" s="7" t="s">
        <v>616</v>
      </c>
      <c r="B244" s="7" t="s">
        <v>616</v>
      </c>
      <c r="C244" s="7" t="s">
        <v>617</v>
      </c>
      <c r="D244" s="7" t="s">
        <v>153</v>
      </c>
      <c r="E244" s="7" t="s">
        <v>618</v>
      </c>
      <c r="F244" s="48">
        <v>0</v>
      </c>
      <c r="G244" s="48">
        <v>0</v>
      </c>
      <c r="H244" s="48">
        <v>0</v>
      </c>
      <c r="I244" s="48">
        <v>0</v>
      </c>
      <c r="J244" s="48">
        <v>476.17</v>
      </c>
      <c r="K244" s="7" t="s">
        <v>104</v>
      </c>
      <c r="L244" s="7" t="s">
        <v>112</v>
      </c>
      <c r="M244" s="7" t="s">
        <v>619</v>
      </c>
      <c r="N244" s="7" t="s">
        <v>118</v>
      </c>
    </row>
    <row r="245" spans="1:14" x14ac:dyDescent="0.25">
      <c r="A245" s="7" t="s">
        <v>616</v>
      </c>
      <c r="B245" s="7" t="s">
        <v>616</v>
      </c>
      <c r="C245" s="7" t="s">
        <v>617</v>
      </c>
      <c r="D245" s="7" t="s">
        <v>153</v>
      </c>
      <c r="E245" s="7" t="s">
        <v>618</v>
      </c>
      <c r="F245" s="48">
        <v>0</v>
      </c>
      <c r="G245" s="48">
        <v>0</v>
      </c>
      <c r="H245" s="48">
        <v>0</v>
      </c>
      <c r="I245" s="48">
        <v>0</v>
      </c>
      <c r="J245" s="48">
        <v>-640.78</v>
      </c>
      <c r="K245" s="7" t="s">
        <v>620</v>
      </c>
      <c r="L245" s="7" t="s">
        <v>112</v>
      </c>
      <c r="M245" s="7" t="s">
        <v>619</v>
      </c>
      <c r="N245" s="7" t="s">
        <v>118</v>
      </c>
    </row>
    <row r="246" spans="1:14" x14ac:dyDescent="0.25">
      <c r="A246" s="7" t="s">
        <v>621</v>
      </c>
      <c r="B246" s="7" t="s">
        <v>621</v>
      </c>
      <c r="C246" s="7" t="s">
        <v>617</v>
      </c>
      <c r="D246" s="7" t="s">
        <v>153</v>
      </c>
      <c r="E246" s="7" t="s">
        <v>618</v>
      </c>
      <c r="F246" s="48">
        <v>0</v>
      </c>
      <c r="G246" s="48">
        <v>0</v>
      </c>
      <c r="H246" s="48">
        <v>0</v>
      </c>
      <c r="I246" s="48">
        <v>0</v>
      </c>
      <c r="J246" s="48">
        <v>468.22</v>
      </c>
      <c r="K246" s="7" t="s">
        <v>104</v>
      </c>
      <c r="L246" s="7" t="s">
        <v>112</v>
      </c>
      <c r="M246" s="7" t="s">
        <v>619</v>
      </c>
      <c r="N246" s="7" t="s">
        <v>118</v>
      </c>
    </row>
    <row r="247" spans="1:14" x14ac:dyDescent="0.25">
      <c r="A247" s="7" t="s">
        <v>621</v>
      </c>
      <c r="B247" s="7" t="s">
        <v>621</v>
      </c>
      <c r="C247" s="7" t="s">
        <v>617</v>
      </c>
      <c r="D247" s="7" t="s">
        <v>153</v>
      </c>
      <c r="E247" s="7" t="s">
        <v>618</v>
      </c>
      <c r="F247" s="48">
        <v>0</v>
      </c>
      <c r="G247" s="48">
        <v>0</v>
      </c>
      <c r="H247" s="48">
        <v>0</v>
      </c>
      <c r="I247" s="48">
        <v>0</v>
      </c>
      <c r="J247" s="48">
        <v>-595.9</v>
      </c>
      <c r="K247" s="7" t="s">
        <v>620</v>
      </c>
      <c r="L247" s="7" t="s">
        <v>112</v>
      </c>
      <c r="M247" s="7" t="s">
        <v>619</v>
      </c>
      <c r="N247" s="7" t="s">
        <v>118</v>
      </c>
    </row>
    <row r="248" spans="1:14" x14ac:dyDescent="0.25">
      <c r="A248" s="7" t="s">
        <v>622</v>
      </c>
      <c r="B248" s="7" t="s">
        <v>622</v>
      </c>
      <c r="C248" s="7" t="s">
        <v>617</v>
      </c>
      <c r="D248" s="7" t="s">
        <v>153</v>
      </c>
      <c r="E248" s="7" t="s">
        <v>618</v>
      </c>
      <c r="F248" s="48">
        <v>0</v>
      </c>
      <c r="G248" s="48">
        <v>0</v>
      </c>
      <c r="H248" s="48">
        <v>0</v>
      </c>
      <c r="I248" s="48">
        <v>0</v>
      </c>
      <c r="J248" s="48">
        <v>53.23</v>
      </c>
      <c r="K248" s="7" t="s">
        <v>104</v>
      </c>
      <c r="L248" s="7" t="s">
        <v>112</v>
      </c>
      <c r="M248" s="7" t="s">
        <v>619</v>
      </c>
      <c r="N248" s="7" t="s">
        <v>118</v>
      </c>
    </row>
    <row r="249" spans="1:14" x14ac:dyDescent="0.25">
      <c r="A249" s="7" t="s">
        <v>622</v>
      </c>
      <c r="B249" s="7" t="s">
        <v>622</v>
      </c>
      <c r="C249" s="7" t="s">
        <v>617</v>
      </c>
      <c r="D249" s="7" t="s">
        <v>153</v>
      </c>
      <c r="E249" s="7" t="s">
        <v>618</v>
      </c>
      <c r="F249" s="48">
        <v>0</v>
      </c>
      <c r="G249" s="48">
        <v>0</v>
      </c>
      <c r="H249" s="48">
        <v>0</v>
      </c>
      <c r="I249" s="48">
        <v>0</v>
      </c>
      <c r="J249" s="48">
        <v>-60.67</v>
      </c>
      <c r="K249" s="7" t="s">
        <v>620</v>
      </c>
      <c r="L249" s="7" t="s">
        <v>112</v>
      </c>
      <c r="M249" s="7" t="s">
        <v>619</v>
      </c>
      <c r="N249" s="7" t="s">
        <v>118</v>
      </c>
    </row>
    <row r="250" spans="1:14" x14ac:dyDescent="0.25">
      <c r="A250" s="7" t="s">
        <v>623</v>
      </c>
      <c r="B250" s="7" t="s">
        <v>623</v>
      </c>
      <c r="C250" s="7" t="s">
        <v>617</v>
      </c>
      <c r="D250" s="7" t="s">
        <v>153</v>
      </c>
      <c r="E250" s="7" t="s">
        <v>618</v>
      </c>
      <c r="F250" s="48">
        <v>0</v>
      </c>
      <c r="G250" s="48">
        <v>0</v>
      </c>
      <c r="H250" s="48">
        <v>0</v>
      </c>
      <c r="I250" s="48">
        <v>0</v>
      </c>
      <c r="J250" s="48">
        <v>746.86</v>
      </c>
      <c r="K250" s="7" t="s">
        <v>104</v>
      </c>
      <c r="L250" s="7" t="s">
        <v>112</v>
      </c>
      <c r="M250" s="7" t="s">
        <v>619</v>
      </c>
      <c r="N250" s="7" t="s">
        <v>118</v>
      </c>
    </row>
    <row r="251" spans="1:14" x14ac:dyDescent="0.25">
      <c r="A251" s="7" t="s">
        <v>623</v>
      </c>
      <c r="B251" s="7" t="s">
        <v>623</v>
      </c>
      <c r="C251" s="7" t="s">
        <v>617</v>
      </c>
      <c r="D251" s="7" t="s">
        <v>153</v>
      </c>
      <c r="E251" s="7" t="s">
        <v>618</v>
      </c>
      <c r="F251" s="48">
        <v>0</v>
      </c>
      <c r="G251" s="48">
        <v>0</v>
      </c>
      <c r="H251" s="48">
        <v>0</v>
      </c>
      <c r="I251" s="48">
        <v>0</v>
      </c>
      <c r="J251" s="48">
        <v>-834.91</v>
      </c>
      <c r="K251" s="7" t="s">
        <v>620</v>
      </c>
      <c r="L251" s="7" t="s">
        <v>112</v>
      </c>
      <c r="M251" s="7" t="s">
        <v>619</v>
      </c>
      <c r="N251" s="7" t="s">
        <v>118</v>
      </c>
    </row>
    <row r="252" spans="1:14" x14ac:dyDescent="0.25">
      <c r="A252" s="7" t="s">
        <v>624</v>
      </c>
      <c r="B252" s="7" t="s">
        <v>624</v>
      </c>
      <c r="C252" s="7" t="s">
        <v>617</v>
      </c>
      <c r="D252" s="7" t="s">
        <v>153</v>
      </c>
      <c r="E252" s="7" t="s">
        <v>618</v>
      </c>
      <c r="F252" s="48">
        <v>0</v>
      </c>
      <c r="G252" s="48">
        <v>0</v>
      </c>
      <c r="H252" s="48">
        <v>0</v>
      </c>
      <c r="I252" s="48">
        <v>0</v>
      </c>
      <c r="J252" s="48">
        <v>584.95000000000005</v>
      </c>
      <c r="K252" s="7" t="s">
        <v>104</v>
      </c>
      <c r="L252" s="7" t="s">
        <v>112</v>
      </c>
      <c r="M252" s="7" t="s">
        <v>619</v>
      </c>
      <c r="N252" s="7" t="s">
        <v>118</v>
      </c>
    </row>
    <row r="253" spans="1:14" x14ac:dyDescent="0.25">
      <c r="A253" s="7" t="s">
        <v>624</v>
      </c>
      <c r="B253" s="7" t="s">
        <v>624</v>
      </c>
      <c r="C253" s="7" t="s">
        <v>617</v>
      </c>
      <c r="D253" s="7" t="s">
        <v>153</v>
      </c>
      <c r="E253" s="7" t="s">
        <v>618</v>
      </c>
      <c r="F253" s="48">
        <v>0</v>
      </c>
      <c r="G253" s="48">
        <v>0</v>
      </c>
      <c r="H253" s="48">
        <v>0</v>
      </c>
      <c r="I253" s="48">
        <v>0</v>
      </c>
      <c r="J253" s="48">
        <v>-657.36</v>
      </c>
      <c r="K253" s="7" t="s">
        <v>620</v>
      </c>
      <c r="L253" s="7" t="s">
        <v>112</v>
      </c>
      <c r="M253" s="7" t="s">
        <v>619</v>
      </c>
      <c r="N253" s="7" t="s">
        <v>118</v>
      </c>
    </row>
    <row r="254" spans="1:14" x14ac:dyDescent="0.25">
      <c r="A254" s="7" t="s">
        <v>625</v>
      </c>
      <c r="B254" s="7" t="s">
        <v>625</v>
      </c>
      <c r="C254" s="7" t="s">
        <v>617</v>
      </c>
      <c r="D254" s="7" t="s">
        <v>153</v>
      </c>
      <c r="E254" s="7" t="s">
        <v>618</v>
      </c>
      <c r="F254" s="48">
        <v>0</v>
      </c>
      <c r="G254" s="48">
        <v>0</v>
      </c>
      <c r="H254" s="48">
        <v>0</v>
      </c>
      <c r="I254" s="48">
        <v>0</v>
      </c>
      <c r="J254" s="48">
        <v>488.95</v>
      </c>
      <c r="K254" s="7" t="s">
        <v>104</v>
      </c>
      <c r="L254" s="7" t="s">
        <v>112</v>
      </c>
      <c r="M254" s="7" t="s">
        <v>619</v>
      </c>
      <c r="N254" s="7" t="s">
        <v>118</v>
      </c>
    </row>
    <row r="255" spans="1:14" x14ac:dyDescent="0.25">
      <c r="A255" s="7" t="s">
        <v>625</v>
      </c>
      <c r="B255" s="7" t="s">
        <v>625</v>
      </c>
      <c r="C255" s="7" t="s">
        <v>617</v>
      </c>
      <c r="D255" s="7" t="s">
        <v>153</v>
      </c>
      <c r="E255" s="7" t="s">
        <v>618</v>
      </c>
      <c r="F255" s="48">
        <v>0</v>
      </c>
      <c r="G255" s="48">
        <v>0</v>
      </c>
      <c r="H255" s="48">
        <v>0</v>
      </c>
      <c r="I255" s="48">
        <v>0</v>
      </c>
      <c r="J255" s="48">
        <v>-549.42999999999995</v>
      </c>
      <c r="K255" s="7" t="s">
        <v>620</v>
      </c>
      <c r="L255" s="7" t="s">
        <v>112</v>
      </c>
      <c r="M255" s="7" t="s">
        <v>619</v>
      </c>
      <c r="N255" s="7" t="s">
        <v>118</v>
      </c>
    </row>
    <row r="256" spans="1:14" x14ac:dyDescent="0.25">
      <c r="A256" s="7" t="s">
        <v>626</v>
      </c>
      <c r="B256" s="7" t="s">
        <v>626</v>
      </c>
      <c r="C256" s="7" t="s">
        <v>617</v>
      </c>
      <c r="D256" s="7" t="s">
        <v>153</v>
      </c>
      <c r="E256" s="7" t="s">
        <v>618</v>
      </c>
      <c r="F256" s="48">
        <v>0</v>
      </c>
      <c r="G256" s="48">
        <v>0</v>
      </c>
      <c r="H256" s="48">
        <v>0</v>
      </c>
      <c r="I256" s="48">
        <v>0</v>
      </c>
      <c r="J256" s="48">
        <v>1003.05</v>
      </c>
      <c r="K256" s="7" t="s">
        <v>104</v>
      </c>
      <c r="L256" s="7" t="s">
        <v>103</v>
      </c>
      <c r="M256" s="7" t="s">
        <v>619</v>
      </c>
      <c r="N256" s="7" t="s">
        <v>117</v>
      </c>
    </row>
    <row r="257" spans="1:14" x14ac:dyDescent="0.25">
      <c r="A257" s="7" t="s">
        <v>626</v>
      </c>
      <c r="B257" s="7" t="s">
        <v>626</v>
      </c>
      <c r="C257" s="7" t="s">
        <v>617</v>
      </c>
      <c r="D257" s="7" t="s">
        <v>153</v>
      </c>
      <c r="E257" s="7" t="s">
        <v>618</v>
      </c>
      <c r="F257" s="48">
        <v>0</v>
      </c>
      <c r="G257" s="48">
        <v>0</v>
      </c>
      <c r="H257" s="48">
        <v>0</v>
      </c>
      <c r="I257" s="48">
        <v>0</v>
      </c>
      <c r="J257" s="48">
        <v>-1366.56</v>
      </c>
      <c r="K257" s="7" t="s">
        <v>620</v>
      </c>
      <c r="L257" s="7" t="s">
        <v>103</v>
      </c>
      <c r="M257" s="7" t="s">
        <v>619</v>
      </c>
      <c r="N257" s="7" t="s">
        <v>117</v>
      </c>
    </row>
    <row r="258" spans="1:14" x14ac:dyDescent="0.25">
      <c r="A258" s="7" t="s">
        <v>178</v>
      </c>
      <c r="B258" s="7" t="s">
        <v>178</v>
      </c>
      <c r="C258" s="7" t="s">
        <v>617</v>
      </c>
      <c r="D258" s="7" t="s">
        <v>153</v>
      </c>
      <c r="E258" s="7" t="s">
        <v>618</v>
      </c>
      <c r="F258" s="48">
        <v>0</v>
      </c>
      <c r="G258" s="48">
        <v>0</v>
      </c>
      <c r="H258" s="48">
        <v>0</v>
      </c>
      <c r="I258" s="48">
        <v>0</v>
      </c>
      <c r="J258" s="48">
        <v>522.39</v>
      </c>
      <c r="K258" s="7" t="s">
        <v>104</v>
      </c>
      <c r="L258" s="7" t="s">
        <v>103</v>
      </c>
      <c r="M258" s="7" t="s">
        <v>619</v>
      </c>
      <c r="N258" s="7" t="s">
        <v>117</v>
      </c>
    </row>
    <row r="259" spans="1:14" x14ac:dyDescent="0.25">
      <c r="A259" s="7" t="s">
        <v>178</v>
      </c>
      <c r="B259" s="7" t="s">
        <v>178</v>
      </c>
      <c r="C259" s="7" t="s">
        <v>617</v>
      </c>
      <c r="D259" s="7" t="s">
        <v>153</v>
      </c>
      <c r="E259" s="7" t="s">
        <v>618</v>
      </c>
      <c r="F259" s="48">
        <v>0</v>
      </c>
      <c r="G259" s="48">
        <v>0</v>
      </c>
      <c r="H259" s="48">
        <v>0</v>
      </c>
      <c r="I259" s="48">
        <v>0</v>
      </c>
      <c r="J259" s="48">
        <v>-708.36</v>
      </c>
      <c r="K259" s="7" t="s">
        <v>620</v>
      </c>
      <c r="L259" s="7" t="s">
        <v>103</v>
      </c>
      <c r="M259" s="7" t="s">
        <v>619</v>
      </c>
      <c r="N259" s="7" t="s">
        <v>117</v>
      </c>
    </row>
    <row r="260" spans="1:14" x14ac:dyDescent="0.25">
      <c r="A260" s="7" t="s">
        <v>627</v>
      </c>
      <c r="B260" s="7" t="s">
        <v>627</v>
      </c>
      <c r="C260" s="7" t="s">
        <v>617</v>
      </c>
      <c r="D260" s="7" t="s">
        <v>153</v>
      </c>
      <c r="E260" s="7" t="s">
        <v>618</v>
      </c>
      <c r="F260" s="48">
        <v>0</v>
      </c>
      <c r="G260" s="48">
        <v>0</v>
      </c>
      <c r="H260" s="48">
        <v>0</v>
      </c>
      <c r="I260" s="48">
        <v>0</v>
      </c>
      <c r="J260" s="48">
        <v>597.96</v>
      </c>
      <c r="K260" s="7" t="s">
        <v>104</v>
      </c>
      <c r="L260" s="7" t="s">
        <v>103</v>
      </c>
      <c r="M260" s="7" t="s">
        <v>619</v>
      </c>
      <c r="N260" s="7" t="s">
        <v>117</v>
      </c>
    </row>
    <row r="261" spans="1:14" x14ac:dyDescent="0.25">
      <c r="A261" s="7" t="s">
        <v>627</v>
      </c>
      <c r="B261" s="7" t="s">
        <v>627</v>
      </c>
      <c r="C261" s="7" t="s">
        <v>617</v>
      </c>
      <c r="D261" s="7" t="s">
        <v>153</v>
      </c>
      <c r="E261" s="7" t="s">
        <v>618</v>
      </c>
      <c r="F261" s="48">
        <v>0</v>
      </c>
      <c r="G261" s="48">
        <v>0</v>
      </c>
      <c r="H261" s="48">
        <v>0</v>
      </c>
      <c r="I261" s="48">
        <v>0</v>
      </c>
      <c r="J261" s="48">
        <v>-854.72</v>
      </c>
      <c r="K261" s="7" t="s">
        <v>620</v>
      </c>
      <c r="L261" s="7" t="s">
        <v>103</v>
      </c>
      <c r="M261" s="7" t="s">
        <v>619</v>
      </c>
      <c r="N261" s="7" t="s">
        <v>117</v>
      </c>
    </row>
    <row r="262" spans="1:14" x14ac:dyDescent="0.25">
      <c r="A262" s="7" t="s">
        <v>628</v>
      </c>
      <c r="B262" s="7" t="s">
        <v>628</v>
      </c>
      <c r="C262" s="7" t="s">
        <v>617</v>
      </c>
      <c r="D262" s="7" t="s">
        <v>153</v>
      </c>
      <c r="E262" s="7" t="s">
        <v>618</v>
      </c>
      <c r="F262" s="48">
        <v>0</v>
      </c>
      <c r="G262" s="48">
        <v>0</v>
      </c>
      <c r="H262" s="48">
        <v>0</v>
      </c>
      <c r="I262" s="48">
        <v>0</v>
      </c>
      <c r="J262" s="48">
        <v>23.15</v>
      </c>
      <c r="K262" s="7" t="s">
        <v>104</v>
      </c>
      <c r="L262" s="7" t="s">
        <v>103</v>
      </c>
      <c r="M262" s="7" t="s">
        <v>619</v>
      </c>
      <c r="N262" s="7" t="s">
        <v>117</v>
      </c>
    </row>
    <row r="263" spans="1:14" x14ac:dyDescent="0.25">
      <c r="A263" s="7" t="s">
        <v>628</v>
      </c>
      <c r="B263" s="7" t="s">
        <v>628</v>
      </c>
      <c r="C263" s="7" t="s">
        <v>617</v>
      </c>
      <c r="D263" s="7" t="s">
        <v>153</v>
      </c>
      <c r="E263" s="7" t="s">
        <v>618</v>
      </c>
      <c r="F263" s="48">
        <v>0</v>
      </c>
      <c r="G263" s="48">
        <v>0</v>
      </c>
      <c r="H263" s="48">
        <v>0</v>
      </c>
      <c r="I263" s="48">
        <v>0</v>
      </c>
      <c r="J263" s="48">
        <v>-33.03</v>
      </c>
      <c r="K263" s="7" t="s">
        <v>620</v>
      </c>
      <c r="L263" s="7" t="s">
        <v>103</v>
      </c>
      <c r="M263" s="7" t="s">
        <v>619</v>
      </c>
      <c r="N263" s="7" t="s">
        <v>117</v>
      </c>
    </row>
    <row r="264" spans="1:14" x14ac:dyDescent="0.25">
      <c r="A264" s="7" t="s">
        <v>629</v>
      </c>
      <c r="B264" s="7" t="s">
        <v>629</v>
      </c>
      <c r="C264" s="7" t="s">
        <v>630</v>
      </c>
      <c r="D264" s="7" t="s">
        <v>631</v>
      </c>
      <c r="E264" s="7" t="s">
        <v>632</v>
      </c>
      <c r="F264" s="48">
        <v>25</v>
      </c>
      <c r="G264" s="48">
        <v>0</v>
      </c>
      <c r="H264" s="48">
        <v>0</v>
      </c>
      <c r="I264" s="48">
        <v>0</v>
      </c>
      <c r="J264" s="48">
        <v>0</v>
      </c>
      <c r="K264" s="7" t="s">
        <v>104</v>
      </c>
      <c r="L264" s="7" t="s">
        <v>103</v>
      </c>
      <c r="M264" s="7" t="s">
        <v>491</v>
      </c>
      <c r="N264" s="7" t="s">
        <v>117</v>
      </c>
    </row>
    <row r="265" spans="1:14" x14ac:dyDescent="0.25">
      <c r="A265" s="7" t="s">
        <v>629</v>
      </c>
      <c r="B265" s="7" t="s">
        <v>629</v>
      </c>
      <c r="C265" s="7" t="s">
        <v>630</v>
      </c>
      <c r="D265" s="7" t="s">
        <v>633</v>
      </c>
      <c r="E265" s="7" t="s">
        <v>634</v>
      </c>
      <c r="F265" s="48">
        <v>-200</v>
      </c>
      <c r="G265" s="48">
        <v>0</v>
      </c>
      <c r="H265" s="48">
        <v>0</v>
      </c>
      <c r="I265" s="48">
        <v>0</v>
      </c>
      <c r="J265" s="48">
        <v>0</v>
      </c>
      <c r="K265" s="7" t="s">
        <v>104</v>
      </c>
      <c r="L265" s="7" t="s">
        <v>103</v>
      </c>
      <c r="M265" s="7" t="s">
        <v>491</v>
      </c>
      <c r="N265" s="7" t="s">
        <v>117</v>
      </c>
    </row>
    <row r="266" spans="1:14" x14ac:dyDescent="0.25">
      <c r="A266" s="7" t="s">
        <v>635</v>
      </c>
      <c r="B266" s="7" t="s">
        <v>635</v>
      </c>
      <c r="C266" s="7" t="s">
        <v>617</v>
      </c>
      <c r="D266" s="7" t="s">
        <v>153</v>
      </c>
      <c r="E266" s="7" t="s">
        <v>618</v>
      </c>
      <c r="F266" s="48">
        <v>0</v>
      </c>
      <c r="G266" s="48">
        <v>0</v>
      </c>
      <c r="H266" s="48">
        <v>0</v>
      </c>
      <c r="I266" s="48">
        <v>0</v>
      </c>
      <c r="J266" s="48">
        <v>763.35</v>
      </c>
      <c r="K266" s="7" t="s">
        <v>104</v>
      </c>
      <c r="L266" s="7" t="s">
        <v>103</v>
      </c>
      <c r="M266" s="7" t="s">
        <v>619</v>
      </c>
      <c r="N266" s="7" t="s">
        <v>117</v>
      </c>
    </row>
    <row r="267" spans="1:14" x14ac:dyDescent="0.25">
      <c r="A267" s="7" t="s">
        <v>635</v>
      </c>
      <c r="B267" s="7" t="s">
        <v>635</v>
      </c>
      <c r="C267" s="7" t="s">
        <v>617</v>
      </c>
      <c r="D267" s="7" t="s">
        <v>153</v>
      </c>
      <c r="E267" s="7" t="s">
        <v>618</v>
      </c>
      <c r="F267" s="48">
        <v>0</v>
      </c>
      <c r="G267" s="48">
        <v>0</v>
      </c>
      <c r="H267" s="48">
        <v>0</v>
      </c>
      <c r="I267" s="48">
        <v>0</v>
      </c>
      <c r="J267" s="48">
        <v>-1099.1500000000001</v>
      </c>
      <c r="K267" s="7" t="s">
        <v>620</v>
      </c>
      <c r="L267" s="7" t="s">
        <v>103</v>
      </c>
      <c r="M267" s="7" t="s">
        <v>619</v>
      </c>
      <c r="N267" s="7" t="s">
        <v>117</v>
      </c>
    </row>
    <row r="268" spans="1:14" x14ac:dyDescent="0.25">
      <c r="A268" s="7" t="s">
        <v>636</v>
      </c>
      <c r="B268" s="7" t="s">
        <v>636</v>
      </c>
      <c r="C268" s="7" t="s">
        <v>617</v>
      </c>
      <c r="D268" s="7" t="s">
        <v>153</v>
      </c>
      <c r="E268" s="7" t="s">
        <v>618</v>
      </c>
      <c r="F268" s="48">
        <v>0</v>
      </c>
      <c r="G268" s="48">
        <v>0</v>
      </c>
      <c r="H268" s="48">
        <v>0</v>
      </c>
      <c r="I268" s="48">
        <v>0</v>
      </c>
      <c r="J268" s="48">
        <v>722.95</v>
      </c>
      <c r="K268" s="7" t="s">
        <v>104</v>
      </c>
      <c r="L268" s="7" t="s">
        <v>103</v>
      </c>
      <c r="M268" s="7" t="s">
        <v>619</v>
      </c>
      <c r="N268" s="7" t="s">
        <v>117</v>
      </c>
    </row>
    <row r="269" spans="1:14" x14ac:dyDescent="0.25">
      <c r="A269" s="7" t="s">
        <v>636</v>
      </c>
      <c r="B269" s="7" t="s">
        <v>636</v>
      </c>
      <c r="C269" s="7" t="s">
        <v>617</v>
      </c>
      <c r="D269" s="7" t="s">
        <v>153</v>
      </c>
      <c r="E269" s="7" t="s">
        <v>618</v>
      </c>
      <c r="F269" s="48">
        <v>0</v>
      </c>
      <c r="G269" s="48">
        <v>0</v>
      </c>
      <c r="H269" s="48">
        <v>0</v>
      </c>
      <c r="I269" s="48">
        <v>0</v>
      </c>
      <c r="J269" s="48">
        <v>-1033.96</v>
      </c>
      <c r="K269" s="7" t="s">
        <v>620</v>
      </c>
      <c r="L269" s="7" t="s">
        <v>103</v>
      </c>
      <c r="M269" s="7" t="s">
        <v>619</v>
      </c>
      <c r="N269" s="7" t="s">
        <v>117</v>
      </c>
    </row>
    <row r="270" spans="1:14" x14ac:dyDescent="0.25">
      <c r="A270" s="7" t="s">
        <v>637</v>
      </c>
      <c r="B270" s="7" t="s">
        <v>637</v>
      </c>
      <c r="C270" s="7" t="s">
        <v>617</v>
      </c>
      <c r="D270" s="7" t="s">
        <v>153</v>
      </c>
      <c r="E270" s="7" t="s">
        <v>618</v>
      </c>
      <c r="F270" s="48">
        <v>0</v>
      </c>
      <c r="G270" s="48">
        <v>0</v>
      </c>
      <c r="H270" s="48">
        <v>0</v>
      </c>
      <c r="I270" s="48">
        <v>0</v>
      </c>
      <c r="J270" s="48">
        <v>992.56</v>
      </c>
      <c r="K270" s="7" t="s">
        <v>104</v>
      </c>
      <c r="L270" s="7" t="s">
        <v>103</v>
      </c>
      <c r="M270" s="7" t="s">
        <v>619</v>
      </c>
      <c r="N270" s="7" t="s">
        <v>117</v>
      </c>
    </row>
    <row r="271" spans="1:14" x14ac:dyDescent="0.25">
      <c r="A271" s="7" t="s">
        <v>637</v>
      </c>
      <c r="B271" s="7" t="s">
        <v>637</v>
      </c>
      <c r="C271" s="7" t="s">
        <v>617</v>
      </c>
      <c r="D271" s="7" t="s">
        <v>153</v>
      </c>
      <c r="E271" s="7" t="s">
        <v>618</v>
      </c>
      <c r="F271" s="48">
        <v>0</v>
      </c>
      <c r="G271" s="48">
        <v>0</v>
      </c>
      <c r="H271" s="48">
        <v>0</v>
      </c>
      <c r="I271" s="48">
        <v>0</v>
      </c>
      <c r="J271" s="48">
        <v>-1406.76</v>
      </c>
      <c r="K271" s="7" t="s">
        <v>620</v>
      </c>
      <c r="L271" s="7" t="s">
        <v>103</v>
      </c>
      <c r="M271" s="7" t="s">
        <v>619</v>
      </c>
      <c r="N271" s="7" t="s">
        <v>117</v>
      </c>
    </row>
    <row r="272" spans="1:14" x14ac:dyDescent="0.25">
      <c r="A272" s="7" t="s">
        <v>638</v>
      </c>
      <c r="B272" s="7" t="s">
        <v>638</v>
      </c>
      <c r="C272" s="7" t="s">
        <v>639</v>
      </c>
      <c r="D272" s="7" t="s">
        <v>106</v>
      </c>
      <c r="E272" s="7" t="s">
        <v>640</v>
      </c>
      <c r="F272" s="48">
        <v>5</v>
      </c>
      <c r="G272" s="48">
        <v>0</v>
      </c>
      <c r="H272" s="48">
        <v>0</v>
      </c>
      <c r="I272" s="48">
        <v>0</v>
      </c>
      <c r="J272" s="48">
        <v>0</v>
      </c>
      <c r="K272" s="7" t="s">
        <v>104</v>
      </c>
      <c r="L272" s="7" t="s">
        <v>103</v>
      </c>
      <c r="M272" s="7" t="s">
        <v>491</v>
      </c>
      <c r="N272" s="7" t="s">
        <v>117</v>
      </c>
    </row>
    <row r="273" spans="1:14" x14ac:dyDescent="0.25">
      <c r="A273" s="7" t="s">
        <v>638</v>
      </c>
      <c r="B273" s="7" t="s">
        <v>638</v>
      </c>
      <c r="C273" s="7" t="s">
        <v>639</v>
      </c>
      <c r="D273" s="7" t="s">
        <v>364</v>
      </c>
      <c r="E273" s="7" t="s">
        <v>641</v>
      </c>
      <c r="F273" s="48">
        <v>-25</v>
      </c>
      <c r="G273" s="48">
        <v>0</v>
      </c>
      <c r="H273" s="48">
        <v>0</v>
      </c>
      <c r="I273" s="48">
        <v>0</v>
      </c>
      <c r="J273" s="48">
        <v>0</v>
      </c>
      <c r="K273" s="7" t="s">
        <v>104</v>
      </c>
      <c r="L273" s="7" t="s">
        <v>103</v>
      </c>
      <c r="M273" s="7" t="s">
        <v>491</v>
      </c>
      <c r="N273" s="7" t="s">
        <v>117</v>
      </c>
    </row>
    <row r="274" spans="1:14" x14ac:dyDescent="0.25">
      <c r="A274" s="7" t="s">
        <v>241</v>
      </c>
      <c r="B274" s="7" t="s">
        <v>241</v>
      </c>
      <c r="C274" s="7" t="s">
        <v>617</v>
      </c>
      <c r="D274" s="7" t="s">
        <v>153</v>
      </c>
      <c r="E274" s="7" t="s">
        <v>618</v>
      </c>
      <c r="F274" s="48">
        <v>0</v>
      </c>
      <c r="G274" s="48">
        <v>0</v>
      </c>
      <c r="H274" s="48">
        <v>0</v>
      </c>
      <c r="I274" s="48">
        <v>0</v>
      </c>
      <c r="J274" s="48">
        <v>1072.5899999999999</v>
      </c>
      <c r="K274" s="7" t="s">
        <v>104</v>
      </c>
      <c r="L274" s="7" t="s">
        <v>103</v>
      </c>
      <c r="M274" s="7" t="s">
        <v>619</v>
      </c>
      <c r="N274" s="7" t="s">
        <v>117</v>
      </c>
    </row>
    <row r="275" spans="1:14" x14ac:dyDescent="0.25">
      <c r="A275" s="7" t="s">
        <v>241</v>
      </c>
      <c r="B275" s="7" t="s">
        <v>241</v>
      </c>
      <c r="C275" s="7" t="s">
        <v>617</v>
      </c>
      <c r="D275" s="7" t="s">
        <v>153</v>
      </c>
      <c r="E275" s="7" t="s">
        <v>618</v>
      </c>
      <c r="F275" s="48">
        <v>0</v>
      </c>
      <c r="G275" s="48">
        <v>0</v>
      </c>
      <c r="H275" s="48">
        <v>0</v>
      </c>
      <c r="I275" s="48">
        <v>0</v>
      </c>
      <c r="J275" s="48">
        <v>-1433.95</v>
      </c>
      <c r="K275" s="7" t="s">
        <v>620</v>
      </c>
      <c r="L275" s="7" t="s">
        <v>103</v>
      </c>
      <c r="M275" s="7" t="s">
        <v>619</v>
      </c>
      <c r="N275" s="7" t="s">
        <v>117</v>
      </c>
    </row>
    <row r="276" spans="1:14" x14ac:dyDescent="0.25">
      <c r="A276" s="7" t="s">
        <v>386</v>
      </c>
      <c r="B276" s="7" t="s">
        <v>386</v>
      </c>
      <c r="C276" s="7" t="s">
        <v>153</v>
      </c>
      <c r="D276" s="7" t="s">
        <v>642</v>
      </c>
      <c r="E276" s="7" t="s">
        <v>643</v>
      </c>
      <c r="F276" s="48">
        <v>0</v>
      </c>
      <c r="G276" s="48">
        <v>0.18</v>
      </c>
      <c r="H276" s="48">
        <v>0</v>
      </c>
      <c r="I276" s="48">
        <v>0</v>
      </c>
      <c r="J276" s="48">
        <v>9.15</v>
      </c>
      <c r="K276" s="7" t="s">
        <v>620</v>
      </c>
      <c r="L276" s="7" t="s">
        <v>103</v>
      </c>
      <c r="M276" s="7" t="s">
        <v>166</v>
      </c>
      <c r="N276" s="7" t="s">
        <v>117</v>
      </c>
    </row>
    <row r="277" spans="1:14" x14ac:dyDescent="0.25">
      <c r="A277" s="7" t="s">
        <v>644</v>
      </c>
      <c r="B277" s="7" t="s">
        <v>644</v>
      </c>
      <c r="C277" s="7" t="s">
        <v>617</v>
      </c>
      <c r="D277" s="7" t="s">
        <v>153</v>
      </c>
      <c r="E277" s="7" t="s">
        <v>618</v>
      </c>
      <c r="F277" s="48">
        <v>0</v>
      </c>
      <c r="G277" s="48">
        <v>0</v>
      </c>
      <c r="H277" s="48">
        <v>0</v>
      </c>
      <c r="I277" s="48">
        <v>0</v>
      </c>
      <c r="J277" s="48">
        <v>208.16</v>
      </c>
      <c r="K277" s="7" t="s">
        <v>104</v>
      </c>
      <c r="L277" s="7" t="s">
        <v>103</v>
      </c>
      <c r="M277" s="7" t="s">
        <v>619</v>
      </c>
      <c r="N277" s="7" t="s">
        <v>117</v>
      </c>
    </row>
    <row r="278" spans="1:14" x14ac:dyDescent="0.25">
      <c r="A278" s="7" t="s">
        <v>644</v>
      </c>
      <c r="B278" s="7" t="s">
        <v>644</v>
      </c>
      <c r="C278" s="7" t="s">
        <v>617</v>
      </c>
      <c r="D278" s="7" t="s">
        <v>153</v>
      </c>
      <c r="E278" s="7" t="s">
        <v>618</v>
      </c>
      <c r="F278" s="48">
        <v>0</v>
      </c>
      <c r="G278" s="48">
        <v>0</v>
      </c>
      <c r="H278" s="48">
        <v>0</v>
      </c>
      <c r="I278" s="48">
        <v>0</v>
      </c>
      <c r="J278" s="48">
        <v>-268.19</v>
      </c>
      <c r="K278" s="7" t="s">
        <v>620</v>
      </c>
      <c r="L278" s="7" t="s">
        <v>103</v>
      </c>
      <c r="M278" s="7" t="s">
        <v>619</v>
      </c>
      <c r="N278" s="7" t="s">
        <v>117</v>
      </c>
    </row>
    <row r="279" spans="1:14" x14ac:dyDescent="0.25">
      <c r="A279" s="7" t="s">
        <v>645</v>
      </c>
      <c r="B279" s="7" t="s">
        <v>645</v>
      </c>
      <c r="C279" s="7" t="s">
        <v>630</v>
      </c>
      <c r="D279" s="7" t="s">
        <v>646</v>
      </c>
      <c r="E279" s="7" t="s">
        <v>647</v>
      </c>
      <c r="F279" s="48">
        <v>20</v>
      </c>
      <c r="G279" s="48">
        <v>0</v>
      </c>
      <c r="H279" s="48">
        <v>0</v>
      </c>
      <c r="I279" s="48">
        <v>0</v>
      </c>
      <c r="J279" s="48">
        <v>0</v>
      </c>
      <c r="K279" s="7" t="s">
        <v>104</v>
      </c>
      <c r="L279" s="7" t="s">
        <v>103</v>
      </c>
      <c r="M279" s="7" t="s">
        <v>491</v>
      </c>
      <c r="N279" s="7" t="s">
        <v>117</v>
      </c>
    </row>
    <row r="280" spans="1:14" x14ac:dyDescent="0.25">
      <c r="A280" s="7" t="s">
        <v>645</v>
      </c>
      <c r="B280" s="7" t="s">
        <v>645</v>
      </c>
      <c r="C280" s="7" t="s">
        <v>630</v>
      </c>
      <c r="D280" s="7" t="s">
        <v>648</v>
      </c>
      <c r="E280" s="7" t="s">
        <v>649</v>
      </c>
      <c r="F280" s="48">
        <v>-200</v>
      </c>
      <c r="G280" s="48">
        <v>0</v>
      </c>
      <c r="H280" s="48">
        <v>0</v>
      </c>
      <c r="I280" s="48">
        <v>0</v>
      </c>
      <c r="J280" s="48">
        <v>0</v>
      </c>
      <c r="K280" s="7" t="s">
        <v>104</v>
      </c>
      <c r="L280" s="7" t="s">
        <v>103</v>
      </c>
      <c r="M280" s="7" t="s">
        <v>491</v>
      </c>
      <c r="N280" s="7" t="s">
        <v>117</v>
      </c>
    </row>
    <row r="281" spans="1:14" x14ac:dyDescent="0.25">
      <c r="A281" s="7" t="s">
        <v>650</v>
      </c>
      <c r="B281" s="7" t="s">
        <v>650</v>
      </c>
      <c r="C281" s="7" t="s">
        <v>617</v>
      </c>
      <c r="D281" s="7" t="s">
        <v>153</v>
      </c>
      <c r="E281" s="7" t="s">
        <v>618</v>
      </c>
      <c r="F281" s="48">
        <v>0</v>
      </c>
      <c r="G281" s="48">
        <v>0</v>
      </c>
      <c r="H281" s="48">
        <v>0</v>
      </c>
      <c r="I281" s="48">
        <v>0</v>
      </c>
      <c r="J281" s="48">
        <v>465.19</v>
      </c>
      <c r="K281" s="7" t="s">
        <v>104</v>
      </c>
      <c r="L281" s="7" t="s">
        <v>103</v>
      </c>
      <c r="M281" s="7" t="s">
        <v>619</v>
      </c>
      <c r="N281" s="7" t="s">
        <v>117</v>
      </c>
    </row>
    <row r="282" spans="1:14" x14ac:dyDescent="0.25">
      <c r="A282" s="7" t="s">
        <v>650</v>
      </c>
      <c r="B282" s="7" t="s">
        <v>650</v>
      </c>
      <c r="C282" s="7" t="s">
        <v>617</v>
      </c>
      <c r="D282" s="7" t="s">
        <v>153</v>
      </c>
      <c r="E282" s="7" t="s">
        <v>618</v>
      </c>
      <c r="F282" s="48">
        <v>0</v>
      </c>
      <c r="G282" s="48">
        <v>0</v>
      </c>
      <c r="H282" s="48">
        <v>0</v>
      </c>
      <c r="I282" s="48">
        <v>0</v>
      </c>
      <c r="J282" s="48">
        <v>-590.74</v>
      </c>
      <c r="K282" s="7" t="s">
        <v>620</v>
      </c>
      <c r="L282" s="7" t="s">
        <v>103</v>
      </c>
      <c r="M282" s="7" t="s">
        <v>619</v>
      </c>
      <c r="N282" s="7" t="s">
        <v>117</v>
      </c>
    </row>
    <row r="283" spans="1:14" x14ac:dyDescent="0.25">
      <c r="A283" s="7" t="s">
        <v>651</v>
      </c>
      <c r="B283" s="7" t="s">
        <v>651</v>
      </c>
      <c r="C283" s="7" t="s">
        <v>617</v>
      </c>
      <c r="D283" s="7" t="s">
        <v>153</v>
      </c>
      <c r="E283" s="7" t="s">
        <v>618</v>
      </c>
      <c r="F283" s="48">
        <v>0</v>
      </c>
      <c r="G283" s="48">
        <v>0</v>
      </c>
      <c r="H283" s="48">
        <v>0</v>
      </c>
      <c r="I283" s="48">
        <v>0</v>
      </c>
      <c r="J283" s="48">
        <v>286.95</v>
      </c>
      <c r="K283" s="7" t="s">
        <v>104</v>
      </c>
      <c r="L283" s="7" t="s">
        <v>103</v>
      </c>
      <c r="M283" s="7" t="s">
        <v>619</v>
      </c>
      <c r="N283" s="7" t="s">
        <v>117</v>
      </c>
    </row>
    <row r="284" spans="1:14" x14ac:dyDescent="0.25">
      <c r="A284" s="7" t="s">
        <v>651</v>
      </c>
      <c r="B284" s="7" t="s">
        <v>651</v>
      </c>
      <c r="C284" s="7" t="s">
        <v>617</v>
      </c>
      <c r="D284" s="7" t="s">
        <v>153</v>
      </c>
      <c r="E284" s="7" t="s">
        <v>618</v>
      </c>
      <c r="F284" s="48">
        <v>0</v>
      </c>
      <c r="G284" s="48">
        <v>0</v>
      </c>
      <c r="H284" s="48">
        <v>0</v>
      </c>
      <c r="I284" s="48">
        <v>0</v>
      </c>
      <c r="J284" s="48">
        <v>-365.22</v>
      </c>
      <c r="K284" s="7" t="s">
        <v>620</v>
      </c>
      <c r="L284" s="7" t="s">
        <v>103</v>
      </c>
      <c r="M284" s="7" t="s">
        <v>619</v>
      </c>
      <c r="N284" s="7" t="s">
        <v>117</v>
      </c>
    </row>
    <row r="285" spans="1:14" x14ac:dyDescent="0.25">
      <c r="A285" s="7" t="s">
        <v>652</v>
      </c>
      <c r="B285" s="7" t="s">
        <v>652</v>
      </c>
      <c r="C285" s="7" t="s">
        <v>617</v>
      </c>
      <c r="D285" s="7" t="s">
        <v>153</v>
      </c>
      <c r="E285" s="7" t="s">
        <v>618</v>
      </c>
      <c r="F285" s="48">
        <v>0</v>
      </c>
      <c r="G285" s="48">
        <v>0</v>
      </c>
      <c r="H285" s="48">
        <v>0</v>
      </c>
      <c r="I285" s="48">
        <v>0</v>
      </c>
      <c r="J285" s="48">
        <v>404.95</v>
      </c>
      <c r="K285" s="7" t="s">
        <v>104</v>
      </c>
      <c r="L285" s="7" t="s">
        <v>103</v>
      </c>
      <c r="M285" s="7" t="s">
        <v>619</v>
      </c>
      <c r="N285" s="7" t="s">
        <v>117</v>
      </c>
    </row>
    <row r="286" spans="1:14" x14ac:dyDescent="0.25">
      <c r="A286" s="7" t="s">
        <v>652</v>
      </c>
      <c r="B286" s="7" t="s">
        <v>652</v>
      </c>
      <c r="C286" s="7" t="s">
        <v>617</v>
      </c>
      <c r="D286" s="7" t="s">
        <v>153</v>
      </c>
      <c r="E286" s="7" t="s">
        <v>618</v>
      </c>
      <c r="F286" s="48">
        <v>0</v>
      </c>
      <c r="G286" s="48">
        <v>0</v>
      </c>
      <c r="H286" s="48">
        <v>0</v>
      </c>
      <c r="I286" s="48">
        <v>0</v>
      </c>
      <c r="J286" s="48">
        <v>-512.04999999999995</v>
      </c>
      <c r="K286" s="7" t="s">
        <v>620</v>
      </c>
      <c r="L286" s="7" t="s">
        <v>103</v>
      </c>
      <c r="M286" s="7" t="s">
        <v>619</v>
      </c>
      <c r="N286" s="7" t="s">
        <v>117</v>
      </c>
    </row>
    <row r="287" spans="1:14" x14ac:dyDescent="0.25">
      <c r="A287" s="7" t="s">
        <v>653</v>
      </c>
      <c r="B287" s="7" t="s">
        <v>653</v>
      </c>
      <c r="C287" s="7" t="s">
        <v>617</v>
      </c>
      <c r="D287" s="7" t="s">
        <v>153</v>
      </c>
      <c r="E287" s="7" t="s">
        <v>618</v>
      </c>
      <c r="F287" s="48">
        <v>0</v>
      </c>
      <c r="G287" s="48">
        <v>0</v>
      </c>
      <c r="H287" s="48">
        <v>0</v>
      </c>
      <c r="I287" s="48">
        <v>0</v>
      </c>
      <c r="J287" s="48">
        <v>317.45</v>
      </c>
      <c r="K287" s="7" t="s">
        <v>104</v>
      </c>
      <c r="L287" s="7" t="s">
        <v>103</v>
      </c>
      <c r="M287" s="7" t="s">
        <v>619</v>
      </c>
      <c r="N287" s="7" t="s">
        <v>117</v>
      </c>
    </row>
    <row r="288" spans="1:14" x14ac:dyDescent="0.25">
      <c r="A288" s="7" t="s">
        <v>653</v>
      </c>
      <c r="B288" s="7" t="s">
        <v>653</v>
      </c>
      <c r="C288" s="7" t="s">
        <v>617</v>
      </c>
      <c r="D288" s="7" t="s">
        <v>153</v>
      </c>
      <c r="E288" s="7" t="s">
        <v>618</v>
      </c>
      <c r="F288" s="48">
        <v>0</v>
      </c>
      <c r="G288" s="48">
        <v>0</v>
      </c>
      <c r="H288" s="48">
        <v>0</v>
      </c>
      <c r="I288" s="48">
        <v>0</v>
      </c>
      <c r="J288" s="48">
        <v>-401.16</v>
      </c>
      <c r="K288" s="7" t="s">
        <v>620</v>
      </c>
      <c r="L288" s="7" t="s">
        <v>103</v>
      </c>
      <c r="M288" s="7" t="s">
        <v>619</v>
      </c>
      <c r="N288" s="7" t="s">
        <v>117</v>
      </c>
    </row>
    <row r="289" spans="1:14" x14ac:dyDescent="0.25">
      <c r="A289" s="7" t="s">
        <v>654</v>
      </c>
      <c r="B289" s="7" t="s">
        <v>654</v>
      </c>
      <c r="C289" s="7" t="s">
        <v>617</v>
      </c>
      <c r="D289" s="7" t="s">
        <v>153</v>
      </c>
      <c r="E289" s="7" t="s">
        <v>618</v>
      </c>
      <c r="F289" s="48">
        <v>0</v>
      </c>
      <c r="G289" s="48">
        <v>0</v>
      </c>
      <c r="H289" s="48">
        <v>0</v>
      </c>
      <c r="I289" s="48">
        <v>0</v>
      </c>
      <c r="J289" s="48">
        <v>696.78</v>
      </c>
      <c r="K289" s="7" t="s">
        <v>104</v>
      </c>
      <c r="L289" s="7" t="s">
        <v>103</v>
      </c>
      <c r="M289" s="7" t="s">
        <v>619</v>
      </c>
      <c r="N289" s="7" t="s">
        <v>117</v>
      </c>
    </row>
    <row r="290" spans="1:14" x14ac:dyDescent="0.25">
      <c r="A290" s="7" t="s">
        <v>654</v>
      </c>
      <c r="B290" s="7" t="s">
        <v>654</v>
      </c>
      <c r="C290" s="7" t="s">
        <v>617</v>
      </c>
      <c r="D290" s="7" t="s">
        <v>153</v>
      </c>
      <c r="E290" s="7" t="s">
        <v>618</v>
      </c>
      <c r="F290" s="48">
        <v>0</v>
      </c>
      <c r="G290" s="48">
        <v>0</v>
      </c>
      <c r="H290" s="48">
        <v>0</v>
      </c>
      <c r="I290" s="48">
        <v>0</v>
      </c>
      <c r="J290" s="48">
        <v>-882.19</v>
      </c>
      <c r="K290" s="7" t="s">
        <v>620</v>
      </c>
      <c r="L290" s="7" t="s">
        <v>103</v>
      </c>
      <c r="M290" s="7" t="s">
        <v>619</v>
      </c>
      <c r="N290" s="7" t="s">
        <v>117</v>
      </c>
    </row>
    <row r="291" spans="1:14" x14ac:dyDescent="0.25">
      <c r="A291" s="7" t="s">
        <v>655</v>
      </c>
      <c r="B291" s="7" t="s">
        <v>655</v>
      </c>
      <c r="C291" s="7" t="s">
        <v>617</v>
      </c>
      <c r="D291" s="7" t="s">
        <v>153</v>
      </c>
      <c r="E291" s="7" t="s">
        <v>618</v>
      </c>
      <c r="F291" s="48">
        <v>0</v>
      </c>
      <c r="G291" s="48">
        <v>0</v>
      </c>
      <c r="H291" s="48">
        <v>0</v>
      </c>
      <c r="I291" s="48">
        <v>0</v>
      </c>
      <c r="J291" s="48">
        <v>792.19</v>
      </c>
      <c r="K291" s="7" t="s">
        <v>104</v>
      </c>
      <c r="L291" s="7" t="s">
        <v>103</v>
      </c>
      <c r="M291" s="7" t="s">
        <v>619</v>
      </c>
      <c r="N291" s="7" t="s">
        <v>117</v>
      </c>
    </row>
    <row r="292" spans="1:14" x14ac:dyDescent="0.25">
      <c r="A292" s="7" t="s">
        <v>655</v>
      </c>
      <c r="B292" s="7" t="s">
        <v>655</v>
      </c>
      <c r="C292" s="7" t="s">
        <v>617</v>
      </c>
      <c r="D292" s="7" t="s">
        <v>153</v>
      </c>
      <c r="E292" s="7" t="s">
        <v>618</v>
      </c>
      <c r="F292" s="48">
        <v>0</v>
      </c>
      <c r="G292" s="48">
        <v>0</v>
      </c>
      <c r="H292" s="48">
        <v>0</v>
      </c>
      <c r="I292" s="48">
        <v>0</v>
      </c>
      <c r="J292" s="48">
        <v>-1005.84</v>
      </c>
      <c r="K292" s="7" t="s">
        <v>620</v>
      </c>
      <c r="L292" s="7" t="s">
        <v>103</v>
      </c>
      <c r="M292" s="7" t="s">
        <v>619</v>
      </c>
      <c r="N292" s="7" t="s">
        <v>117</v>
      </c>
    </row>
    <row r="293" spans="1:14" x14ac:dyDescent="0.25">
      <c r="A293" s="7" t="s">
        <v>656</v>
      </c>
      <c r="B293" s="7" t="s">
        <v>656</v>
      </c>
      <c r="C293" s="7" t="s">
        <v>617</v>
      </c>
      <c r="D293" s="7" t="s">
        <v>153</v>
      </c>
      <c r="E293" s="7" t="s">
        <v>657</v>
      </c>
      <c r="F293" s="48">
        <v>0</v>
      </c>
      <c r="G293" s="48">
        <v>0</v>
      </c>
      <c r="H293" s="48">
        <v>0</v>
      </c>
      <c r="I293" s="48">
        <v>0</v>
      </c>
      <c r="J293" s="48">
        <v>-642.53</v>
      </c>
      <c r="K293" s="7" t="s">
        <v>104</v>
      </c>
      <c r="L293" s="7" t="s">
        <v>103</v>
      </c>
      <c r="M293" s="7" t="s">
        <v>619</v>
      </c>
      <c r="N293" s="7" t="s">
        <v>117</v>
      </c>
    </row>
    <row r="294" spans="1:14" x14ac:dyDescent="0.25">
      <c r="A294" s="7" t="s">
        <v>656</v>
      </c>
      <c r="B294" s="7" t="s">
        <v>656</v>
      </c>
      <c r="C294" s="7" t="s">
        <v>617</v>
      </c>
      <c r="D294" s="7" t="s">
        <v>153</v>
      </c>
      <c r="E294" s="7" t="s">
        <v>657</v>
      </c>
      <c r="F294" s="48">
        <v>0</v>
      </c>
      <c r="G294" s="48">
        <v>0</v>
      </c>
      <c r="H294" s="48">
        <v>0</v>
      </c>
      <c r="I294" s="48">
        <v>0</v>
      </c>
      <c r="J294" s="48">
        <v>788.25</v>
      </c>
      <c r="K294" s="7" t="s">
        <v>620</v>
      </c>
      <c r="L294" s="7" t="s">
        <v>103</v>
      </c>
      <c r="M294" s="7" t="s">
        <v>619</v>
      </c>
      <c r="N294" s="7" t="s">
        <v>117</v>
      </c>
    </row>
    <row r="295" spans="1:14" x14ac:dyDescent="0.25">
      <c r="A295" s="7" t="s">
        <v>658</v>
      </c>
      <c r="B295" s="7" t="s">
        <v>658</v>
      </c>
      <c r="C295" s="7" t="s">
        <v>617</v>
      </c>
      <c r="D295" s="7" t="s">
        <v>153</v>
      </c>
      <c r="E295" s="7" t="s">
        <v>618</v>
      </c>
      <c r="F295" s="48">
        <v>0</v>
      </c>
      <c r="G295" s="48">
        <v>0</v>
      </c>
      <c r="H295" s="48">
        <v>0</v>
      </c>
      <c r="I295" s="48">
        <v>0</v>
      </c>
      <c r="J295" s="48">
        <v>525</v>
      </c>
      <c r="K295" s="7" t="s">
        <v>104</v>
      </c>
      <c r="L295" s="7" t="s">
        <v>103</v>
      </c>
      <c r="M295" s="7" t="s">
        <v>619</v>
      </c>
      <c r="N295" s="7" t="s">
        <v>117</v>
      </c>
    </row>
    <row r="296" spans="1:14" x14ac:dyDescent="0.25">
      <c r="A296" s="7" t="s">
        <v>658</v>
      </c>
      <c r="B296" s="7" t="s">
        <v>658</v>
      </c>
      <c r="C296" s="7" t="s">
        <v>617</v>
      </c>
      <c r="D296" s="7" t="s">
        <v>153</v>
      </c>
      <c r="E296" s="7" t="s">
        <v>618</v>
      </c>
      <c r="F296" s="48">
        <v>0</v>
      </c>
      <c r="G296" s="48">
        <v>0</v>
      </c>
      <c r="H296" s="48">
        <v>0</v>
      </c>
      <c r="I296" s="48">
        <v>0</v>
      </c>
      <c r="J296" s="48">
        <v>-646.42999999999995</v>
      </c>
      <c r="K296" s="7" t="s">
        <v>620</v>
      </c>
      <c r="L296" s="7" t="s">
        <v>103</v>
      </c>
      <c r="M296" s="7" t="s">
        <v>619</v>
      </c>
      <c r="N296" s="7" t="s">
        <v>117</v>
      </c>
    </row>
    <row r="297" spans="1:14" x14ac:dyDescent="0.25">
      <c r="A297" s="7" t="s">
        <v>659</v>
      </c>
      <c r="B297" s="7" t="s">
        <v>659</v>
      </c>
      <c r="C297" s="7" t="s">
        <v>617</v>
      </c>
      <c r="D297" s="7" t="s">
        <v>153</v>
      </c>
      <c r="E297" s="7" t="s">
        <v>657</v>
      </c>
      <c r="F297" s="48">
        <v>0</v>
      </c>
      <c r="G297" s="48">
        <v>0</v>
      </c>
      <c r="H297" s="48">
        <v>0</v>
      </c>
      <c r="I297" s="48">
        <v>0</v>
      </c>
      <c r="J297" s="48">
        <v>-4.42</v>
      </c>
      <c r="K297" s="7" t="s">
        <v>104</v>
      </c>
      <c r="L297" s="7" t="s">
        <v>103</v>
      </c>
      <c r="M297" s="7" t="s">
        <v>619</v>
      </c>
      <c r="N297" s="7" t="s">
        <v>117</v>
      </c>
    </row>
    <row r="298" spans="1:14" x14ac:dyDescent="0.25">
      <c r="A298" s="7" t="s">
        <v>659</v>
      </c>
      <c r="B298" s="7" t="s">
        <v>659</v>
      </c>
      <c r="C298" s="7" t="s">
        <v>617</v>
      </c>
      <c r="D298" s="7" t="s">
        <v>153</v>
      </c>
      <c r="E298" s="7" t="s">
        <v>657</v>
      </c>
      <c r="F298" s="48">
        <v>0</v>
      </c>
      <c r="G298" s="48">
        <v>0</v>
      </c>
      <c r="H298" s="48">
        <v>0</v>
      </c>
      <c r="I298" s="48">
        <v>0</v>
      </c>
      <c r="J298" s="48">
        <v>4.93</v>
      </c>
      <c r="K298" s="7" t="s">
        <v>620</v>
      </c>
      <c r="L298" s="7" t="s">
        <v>103</v>
      </c>
      <c r="M298" s="7" t="s">
        <v>619</v>
      </c>
      <c r="N298" s="7" t="s">
        <v>117</v>
      </c>
    </row>
    <row r="299" spans="1:14" x14ac:dyDescent="0.25">
      <c r="A299" s="7" t="s">
        <v>660</v>
      </c>
      <c r="B299" s="7" t="s">
        <v>660</v>
      </c>
      <c r="C299" s="7" t="s">
        <v>617</v>
      </c>
      <c r="D299" s="7" t="s">
        <v>153</v>
      </c>
      <c r="E299" s="7" t="s">
        <v>657</v>
      </c>
      <c r="F299" s="48">
        <v>0</v>
      </c>
      <c r="G299" s="48">
        <v>0</v>
      </c>
      <c r="H299" s="48">
        <v>0</v>
      </c>
      <c r="I299" s="48">
        <v>0</v>
      </c>
      <c r="J299" s="48">
        <v>-9.7899999999999991</v>
      </c>
      <c r="K299" s="7" t="s">
        <v>104</v>
      </c>
      <c r="L299" s="7" t="s">
        <v>103</v>
      </c>
      <c r="M299" s="7" t="s">
        <v>619</v>
      </c>
      <c r="N299" s="7" t="s">
        <v>117</v>
      </c>
    </row>
    <row r="300" spans="1:14" x14ac:dyDescent="0.25">
      <c r="A300" s="7" t="s">
        <v>660</v>
      </c>
      <c r="B300" s="7" t="s">
        <v>660</v>
      </c>
      <c r="C300" s="7" t="s">
        <v>617</v>
      </c>
      <c r="D300" s="7" t="s">
        <v>153</v>
      </c>
      <c r="E300" s="7" t="s">
        <v>657</v>
      </c>
      <c r="F300" s="48">
        <v>0</v>
      </c>
      <c r="G300" s="48">
        <v>0</v>
      </c>
      <c r="H300" s="48">
        <v>0</v>
      </c>
      <c r="I300" s="48">
        <v>0</v>
      </c>
      <c r="J300" s="48">
        <v>10.86</v>
      </c>
      <c r="K300" s="7" t="s">
        <v>620</v>
      </c>
      <c r="L300" s="7" t="s">
        <v>103</v>
      </c>
      <c r="M300" s="7" t="s">
        <v>619</v>
      </c>
      <c r="N300" s="7" t="s">
        <v>117</v>
      </c>
    </row>
    <row r="301" spans="1:14" x14ac:dyDescent="0.25">
      <c r="A301" s="7" t="s">
        <v>622</v>
      </c>
      <c r="B301" s="7" t="s">
        <v>622</v>
      </c>
      <c r="C301" s="7" t="s">
        <v>617</v>
      </c>
      <c r="D301" s="7" t="s">
        <v>153</v>
      </c>
      <c r="E301" s="7" t="s">
        <v>618</v>
      </c>
      <c r="F301" s="48">
        <v>0</v>
      </c>
      <c r="G301" s="48">
        <v>0</v>
      </c>
      <c r="H301" s="48">
        <v>0</v>
      </c>
      <c r="I301" s="48">
        <v>0</v>
      </c>
      <c r="J301" s="48">
        <v>694.95</v>
      </c>
      <c r="K301" s="7" t="s">
        <v>104</v>
      </c>
      <c r="L301" s="7" t="s">
        <v>103</v>
      </c>
      <c r="M301" s="7" t="s">
        <v>619</v>
      </c>
      <c r="N301" s="7" t="s">
        <v>117</v>
      </c>
    </row>
    <row r="302" spans="1:14" x14ac:dyDescent="0.25">
      <c r="A302" s="7" t="s">
        <v>622</v>
      </c>
      <c r="B302" s="7" t="s">
        <v>622</v>
      </c>
      <c r="C302" s="7" t="s">
        <v>617</v>
      </c>
      <c r="D302" s="7" t="s">
        <v>153</v>
      </c>
      <c r="E302" s="7" t="s">
        <v>618</v>
      </c>
      <c r="F302" s="48">
        <v>0</v>
      </c>
      <c r="G302" s="48">
        <v>0</v>
      </c>
      <c r="H302" s="48">
        <v>0</v>
      </c>
      <c r="I302" s="48">
        <v>0</v>
      </c>
      <c r="J302" s="48">
        <v>-792.1</v>
      </c>
      <c r="K302" s="7" t="s">
        <v>620</v>
      </c>
      <c r="L302" s="7" t="s">
        <v>103</v>
      </c>
      <c r="M302" s="7" t="s">
        <v>619</v>
      </c>
      <c r="N302" s="7" t="s">
        <v>117</v>
      </c>
    </row>
    <row r="303" spans="1:14" x14ac:dyDescent="0.25">
      <c r="A303" s="7" t="s">
        <v>661</v>
      </c>
      <c r="B303" s="7" t="s">
        <v>661</v>
      </c>
      <c r="C303" s="7" t="s">
        <v>617</v>
      </c>
      <c r="D303" s="7" t="s">
        <v>153</v>
      </c>
      <c r="E303" s="7" t="s">
        <v>657</v>
      </c>
      <c r="F303" s="48">
        <v>0</v>
      </c>
      <c r="G303" s="48">
        <v>0</v>
      </c>
      <c r="H303" s="48">
        <v>0</v>
      </c>
      <c r="I303" s="48">
        <v>0</v>
      </c>
      <c r="J303" s="48">
        <v>-4.41</v>
      </c>
      <c r="K303" s="7" t="s">
        <v>104</v>
      </c>
      <c r="L303" s="7" t="s">
        <v>103</v>
      </c>
      <c r="M303" s="7" t="s">
        <v>619</v>
      </c>
      <c r="N303" s="7" t="s">
        <v>117</v>
      </c>
    </row>
    <row r="304" spans="1:14" x14ac:dyDescent="0.25">
      <c r="A304" s="7" t="s">
        <v>661</v>
      </c>
      <c r="B304" s="7" t="s">
        <v>661</v>
      </c>
      <c r="C304" s="7" t="s">
        <v>617</v>
      </c>
      <c r="D304" s="7" t="s">
        <v>153</v>
      </c>
      <c r="E304" s="7" t="s">
        <v>657</v>
      </c>
      <c r="F304" s="48">
        <v>0</v>
      </c>
      <c r="G304" s="48">
        <v>0</v>
      </c>
      <c r="H304" s="48">
        <v>0</v>
      </c>
      <c r="I304" s="48">
        <v>0</v>
      </c>
      <c r="J304" s="48">
        <v>4.7</v>
      </c>
      <c r="K304" s="7" t="s">
        <v>620</v>
      </c>
      <c r="L304" s="7" t="s">
        <v>103</v>
      </c>
      <c r="M304" s="7" t="s">
        <v>619</v>
      </c>
      <c r="N304" s="7" t="s">
        <v>117</v>
      </c>
    </row>
    <row r="305" spans="1:14" x14ac:dyDescent="0.25">
      <c r="A305" s="7" t="s">
        <v>662</v>
      </c>
      <c r="B305" s="7" t="s">
        <v>662</v>
      </c>
      <c r="C305" s="7" t="s">
        <v>617</v>
      </c>
      <c r="D305" s="7" t="s">
        <v>153</v>
      </c>
      <c r="E305" s="7" t="s">
        <v>657</v>
      </c>
      <c r="F305" s="48">
        <v>0</v>
      </c>
      <c r="G305" s="48">
        <v>0</v>
      </c>
      <c r="H305" s="48">
        <v>0</v>
      </c>
      <c r="I305" s="48">
        <v>0</v>
      </c>
      <c r="J305" s="48">
        <v>-2545</v>
      </c>
      <c r="K305" s="7" t="s">
        <v>104</v>
      </c>
      <c r="L305" s="7" t="s">
        <v>103</v>
      </c>
      <c r="M305" s="7" t="s">
        <v>619</v>
      </c>
      <c r="N305" s="7" t="s">
        <v>117</v>
      </c>
    </row>
    <row r="306" spans="1:14" x14ac:dyDescent="0.25">
      <c r="A306" s="7" t="s">
        <v>662</v>
      </c>
      <c r="B306" s="7" t="s">
        <v>662</v>
      </c>
      <c r="C306" s="7" t="s">
        <v>617</v>
      </c>
      <c r="D306" s="7" t="s">
        <v>153</v>
      </c>
      <c r="E306" s="7" t="s">
        <v>657</v>
      </c>
      <c r="F306" s="48">
        <v>0</v>
      </c>
      <c r="G306" s="48">
        <v>0</v>
      </c>
      <c r="H306" s="48">
        <v>0</v>
      </c>
      <c r="I306" s="48">
        <v>0</v>
      </c>
      <c r="J306" s="48">
        <v>2717.55</v>
      </c>
      <c r="K306" s="7" t="s">
        <v>620</v>
      </c>
      <c r="L306" s="7" t="s">
        <v>103</v>
      </c>
      <c r="M306" s="7" t="s">
        <v>619</v>
      </c>
      <c r="N306" s="7" t="s">
        <v>117</v>
      </c>
    </row>
    <row r="307" spans="1:14" x14ac:dyDescent="0.25">
      <c r="A307" s="7" t="s">
        <v>234</v>
      </c>
      <c r="B307" s="7" t="s">
        <v>234</v>
      </c>
      <c r="C307" s="7" t="s">
        <v>617</v>
      </c>
      <c r="D307" s="7" t="s">
        <v>153</v>
      </c>
      <c r="E307" s="7" t="s">
        <v>657</v>
      </c>
      <c r="F307" s="48">
        <v>0</v>
      </c>
      <c r="G307" s="48">
        <v>0</v>
      </c>
      <c r="H307" s="48">
        <v>0</v>
      </c>
      <c r="I307" s="48">
        <v>0</v>
      </c>
      <c r="J307" s="48">
        <v>-11.95</v>
      </c>
      <c r="K307" s="7" t="s">
        <v>104</v>
      </c>
      <c r="L307" s="7" t="s">
        <v>103</v>
      </c>
      <c r="M307" s="7" t="s">
        <v>619</v>
      </c>
      <c r="N307" s="7" t="s">
        <v>117</v>
      </c>
    </row>
    <row r="308" spans="1:14" x14ac:dyDescent="0.25">
      <c r="A308" s="7" t="s">
        <v>234</v>
      </c>
      <c r="B308" s="7" t="s">
        <v>234</v>
      </c>
      <c r="C308" s="7" t="s">
        <v>617</v>
      </c>
      <c r="D308" s="7" t="s">
        <v>153</v>
      </c>
      <c r="E308" s="7" t="s">
        <v>657</v>
      </c>
      <c r="F308" s="48">
        <v>0</v>
      </c>
      <c r="G308" s="48">
        <v>0</v>
      </c>
      <c r="H308" s="48">
        <v>0</v>
      </c>
      <c r="I308" s="48">
        <v>0</v>
      </c>
      <c r="J308" s="48">
        <v>12.84</v>
      </c>
      <c r="K308" s="7" t="s">
        <v>620</v>
      </c>
      <c r="L308" s="7" t="s">
        <v>103</v>
      </c>
      <c r="M308" s="7" t="s">
        <v>619</v>
      </c>
      <c r="N308" s="7" t="s">
        <v>117</v>
      </c>
    </row>
    <row r="309" spans="1:14" x14ac:dyDescent="0.25">
      <c r="A309" s="7" t="s">
        <v>663</v>
      </c>
      <c r="B309" s="7" t="s">
        <v>663</v>
      </c>
      <c r="C309" s="7" t="s">
        <v>617</v>
      </c>
      <c r="D309" s="7" t="s">
        <v>153</v>
      </c>
      <c r="E309" s="7" t="s">
        <v>657</v>
      </c>
      <c r="F309" s="48">
        <v>0</v>
      </c>
      <c r="G309" s="48">
        <v>0</v>
      </c>
      <c r="H309" s="48">
        <v>0</v>
      </c>
      <c r="I309" s="48">
        <v>0</v>
      </c>
      <c r="J309" s="48">
        <v>-463.04</v>
      </c>
      <c r="K309" s="7" t="s">
        <v>104</v>
      </c>
      <c r="L309" s="7" t="s">
        <v>103</v>
      </c>
      <c r="M309" s="7" t="s">
        <v>619</v>
      </c>
      <c r="N309" s="7" t="s">
        <v>117</v>
      </c>
    </row>
    <row r="310" spans="1:14" x14ac:dyDescent="0.25">
      <c r="A310" s="7" t="s">
        <v>663</v>
      </c>
      <c r="B310" s="7" t="s">
        <v>663</v>
      </c>
      <c r="C310" s="7" t="s">
        <v>617</v>
      </c>
      <c r="D310" s="7" t="s">
        <v>153</v>
      </c>
      <c r="E310" s="7" t="s">
        <v>657</v>
      </c>
      <c r="F310" s="48">
        <v>0</v>
      </c>
      <c r="G310" s="48">
        <v>0</v>
      </c>
      <c r="H310" s="48">
        <v>0</v>
      </c>
      <c r="I310" s="48">
        <v>0</v>
      </c>
      <c r="J310" s="48">
        <v>488.32</v>
      </c>
      <c r="K310" s="7" t="s">
        <v>620</v>
      </c>
      <c r="L310" s="7" t="s">
        <v>103</v>
      </c>
      <c r="M310" s="7" t="s">
        <v>619</v>
      </c>
      <c r="N310" s="7" t="s">
        <v>117</v>
      </c>
    </row>
    <row r="311" spans="1:14" x14ac:dyDescent="0.25">
      <c r="A311" s="7" t="s">
        <v>664</v>
      </c>
      <c r="B311" s="7" t="s">
        <v>664</v>
      </c>
      <c r="C311" s="7" t="s">
        <v>617</v>
      </c>
      <c r="D311" s="7" t="s">
        <v>153</v>
      </c>
      <c r="E311" s="7" t="s">
        <v>657</v>
      </c>
      <c r="F311" s="48">
        <v>0</v>
      </c>
      <c r="G311" s="48">
        <v>0</v>
      </c>
      <c r="H311" s="48">
        <v>0</v>
      </c>
      <c r="I311" s="48">
        <v>0</v>
      </c>
      <c r="J311" s="48">
        <v>-4.42</v>
      </c>
      <c r="K311" s="7" t="s">
        <v>104</v>
      </c>
      <c r="L311" s="7" t="s">
        <v>103</v>
      </c>
      <c r="M311" s="7" t="s">
        <v>619</v>
      </c>
      <c r="N311" s="7" t="s">
        <v>117</v>
      </c>
    </row>
    <row r="312" spans="1:14" x14ac:dyDescent="0.25">
      <c r="A312" s="7" t="s">
        <v>664</v>
      </c>
      <c r="B312" s="7" t="s">
        <v>664</v>
      </c>
      <c r="C312" s="7" t="s">
        <v>617</v>
      </c>
      <c r="D312" s="7" t="s">
        <v>153</v>
      </c>
      <c r="E312" s="7" t="s">
        <v>657</v>
      </c>
      <c r="F312" s="48">
        <v>0</v>
      </c>
      <c r="G312" s="48">
        <v>0</v>
      </c>
      <c r="H312" s="48">
        <v>0</v>
      </c>
      <c r="I312" s="48">
        <v>0</v>
      </c>
      <c r="J312" s="48">
        <v>4.74</v>
      </c>
      <c r="K312" s="7" t="s">
        <v>620</v>
      </c>
      <c r="L312" s="7" t="s">
        <v>103</v>
      </c>
      <c r="M312" s="7" t="s">
        <v>619</v>
      </c>
      <c r="N312" s="7" t="s">
        <v>117</v>
      </c>
    </row>
    <row r="313" spans="1:14" x14ac:dyDescent="0.25">
      <c r="A313" s="7" t="s">
        <v>665</v>
      </c>
      <c r="B313" s="7" t="s">
        <v>665</v>
      </c>
      <c r="C313" s="7" t="s">
        <v>617</v>
      </c>
      <c r="D313" s="7" t="s">
        <v>153</v>
      </c>
      <c r="E313" s="7" t="s">
        <v>618</v>
      </c>
      <c r="F313" s="48">
        <v>0</v>
      </c>
      <c r="G313" s="48">
        <v>0</v>
      </c>
      <c r="H313" s="48">
        <v>0</v>
      </c>
      <c r="I313" s="48">
        <v>0</v>
      </c>
      <c r="J313" s="48">
        <v>995.4</v>
      </c>
      <c r="K313" s="7" t="s">
        <v>104</v>
      </c>
      <c r="L313" s="7" t="s">
        <v>103</v>
      </c>
      <c r="M313" s="7" t="s">
        <v>619</v>
      </c>
      <c r="N313" s="7" t="s">
        <v>117</v>
      </c>
    </row>
    <row r="314" spans="1:14" x14ac:dyDescent="0.25">
      <c r="A314" s="7" t="s">
        <v>665</v>
      </c>
      <c r="B314" s="7" t="s">
        <v>665</v>
      </c>
      <c r="C314" s="7" t="s">
        <v>617</v>
      </c>
      <c r="D314" s="7" t="s">
        <v>153</v>
      </c>
      <c r="E314" s="7" t="s">
        <v>618</v>
      </c>
      <c r="F314" s="48">
        <v>0</v>
      </c>
      <c r="G314" s="48">
        <v>0</v>
      </c>
      <c r="H314" s="48">
        <v>0</v>
      </c>
      <c r="I314" s="48">
        <v>0</v>
      </c>
      <c r="J314" s="48">
        <v>-1104.99</v>
      </c>
      <c r="K314" s="7" t="s">
        <v>620</v>
      </c>
      <c r="L314" s="7" t="s">
        <v>103</v>
      </c>
      <c r="M314" s="7" t="s">
        <v>619</v>
      </c>
      <c r="N314" s="7" t="s">
        <v>117</v>
      </c>
    </row>
    <row r="315" spans="1:14" x14ac:dyDescent="0.25">
      <c r="A315" s="7" t="s">
        <v>666</v>
      </c>
      <c r="B315" s="7" t="s">
        <v>666</v>
      </c>
      <c r="C315" s="7" t="s">
        <v>617</v>
      </c>
      <c r="D315" s="7" t="s">
        <v>153</v>
      </c>
      <c r="E315" s="7" t="s">
        <v>657</v>
      </c>
      <c r="F315" s="48">
        <v>0</v>
      </c>
      <c r="G315" s="48">
        <v>0</v>
      </c>
      <c r="H315" s="48">
        <v>0</v>
      </c>
      <c r="I315" s="48">
        <v>0</v>
      </c>
      <c r="J315" s="48">
        <v>-13.78</v>
      </c>
      <c r="K315" s="7" t="s">
        <v>104</v>
      </c>
      <c r="L315" s="7" t="s">
        <v>103</v>
      </c>
      <c r="M315" s="7" t="s">
        <v>619</v>
      </c>
      <c r="N315" s="7" t="s">
        <v>117</v>
      </c>
    </row>
    <row r="316" spans="1:14" x14ac:dyDescent="0.25">
      <c r="A316" s="7" t="s">
        <v>666</v>
      </c>
      <c r="B316" s="7" t="s">
        <v>666</v>
      </c>
      <c r="C316" s="7" t="s">
        <v>617</v>
      </c>
      <c r="D316" s="7" t="s">
        <v>153</v>
      </c>
      <c r="E316" s="7" t="s">
        <v>657</v>
      </c>
      <c r="F316" s="48">
        <v>0</v>
      </c>
      <c r="G316" s="48">
        <v>0</v>
      </c>
      <c r="H316" s="48">
        <v>0</v>
      </c>
      <c r="I316" s="48">
        <v>0</v>
      </c>
      <c r="J316" s="48">
        <v>14.75</v>
      </c>
      <c r="K316" s="7" t="s">
        <v>620</v>
      </c>
      <c r="L316" s="7" t="s">
        <v>103</v>
      </c>
      <c r="M316" s="7" t="s">
        <v>619</v>
      </c>
      <c r="N316" s="7" t="s">
        <v>117</v>
      </c>
    </row>
    <row r="317" spans="1:14" x14ac:dyDescent="0.25">
      <c r="A317" s="7" t="s">
        <v>667</v>
      </c>
      <c r="B317" s="7" t="s">
        <v>667</v>
      </c>
      <c r="C317" s="7" t="s">
        <v>617</v>
      </c>
      <c r="D317" s="7" t="s">
        <v>153</v>
      </c>
      <c r="E317" s="7" t="s">
        <v>618</v>
      </c>
      <c r="F317" s="48">
        <v>0</v>
      </c>
      <c r="G317" s="48">
        <v>0</v>
      </c>
      <c r="H317" s="48">
        <v>0</v>
      </c>
      <c r="I317" s="48">
        <v>0</v>
      </c>
      <c r="J317" s="48">
        <v>696.75</v>
      </c>
      <c r="K317" s="7" t="s">
        <v>104</v>
      </c>
      <c r="L317" s="7" t="s">
        <v>103</v>
      </c>
      <c r="M317" s="7" t="s">
        <v>619</v>
      </c>
      <c r="N317" s="7" t="s">
        <v>117</v>
      </c>
    </row>
    <row r="318" spans="1:14" x14ac:dyDescent="0.25">
      <c r="A318" s="7" t="s">
        <v>667</v>
      </c>
      <c r="B318" s="7" t="s">
        <v>667</v>
      </c>
      <c r="C318" s="7" t="s">
        <v>617</v>
      </c>
      <c r="D318" s="7" t="s">
        <v>153</v>
      </c>
      <c r="E318" s="7" t="s">
        <v>618</v>
      </c>
      <c r="F318" s="48">
        <v>0</v>
      </c>
      <c r="G318" s="48">
        <v>0</v>
      </c>
      <c r="H318" s="48">
        <v>0</v>
      </c>
      <c r="I318" s="48">
        <v>0</v>
      </c>
      <c r="J318" s="48">
        <v>-772.34</v>
      </c>
      <c r="K318" s="7" t="s">
        <v>620</v>
      </c>
      <c r="L318" s="7" t="s">
        <v>103</v>
      </c>
      <c r="M318" s="7" t="s">
        <v>619</v>
      </c>
      <c r="N318" s="7" t="s">
        <v>117</v>
      </c>
    </row>
    <row r="319" spans="1:14" x14ac:dyDescent="0.25">
      <c r="A319" s="7" t="s">
        <v>668</v>
      </c>
      <c r="B319" s="7" t="s">
        <v>668</v>
      </c>
      <c r="C319" s="7" t="s">
        <v>617</v>
      </c>
      <c r="D319" s="7" t="s">
        <v>153</v>
      </c>
      <c r="E319" s="7" t="s">
        <v>618</v>
      </c>
      <c r="F319" s="48">
        <v>0</v>
      </c>
      <c r="G319" s="48">
        <v>0</v>
      </c>
      <c r="H319" s="48">
        <v>0</v>
      </c>
      <c r="I319" s="48">
        <v>0</v>
      </c>
      <c r="J319" s="48">
        <v>604.35</v>
      </c>
      <c r="K319" s="7" t="s">
        <v>104</v>
      </c>
      <c r="L319" s="7" t="s">
        <v>103</v>
      </c>
      <c r="M319" s="7" t="s">
        <v>619</v>
      </c>
      <c r="N319" s="7" t="s">
        <v>117</v>
      </c>
    </row>
    <row r="320" spans="1:14" x14ac:dyDescent="0.25">
      <c r="A320" s="7" t="s">
        <v>668</v>
      </c>
      <c r="B320" s="7" t="s">
        <v>668</v>
      </c>
      <c r="C320" s="7" t="s">
        <v>617</v>
      </c>
      <c r="D320" s="7" t="s">
        <v>153</v>
      </c>
      <c r="E320" s="7" t="s">
        <v>618</v>
      </c>
      <c r="F320" s="48">
        <v>0</v>
      </c>
      <c r="G320" s="48">
        <v>0</v>
      </c>
      <c r="H320" s="48">
        <v>0</v>
      </c>
      <c r="I320" s="48">
        <v>0</v>
      </c>
      <c r="J320" s="48">
        <v>-674.15</v>
      </c>
      <c r="K320" s="7" t="s">
        <v>620</v>
      </c>
      <c r="L320" s="7" t="s">
        <v>103</v>
      </c>
      <c r="M320" s="7" t="s">
        <v>619</v>
      </c>
      <c r="N320" s="7" t="s">
        <v>117</v>
      </c>
    </row>
    <row r="321" spans="1:14" x14ac:dyDescent="0.25">
      <c r="A321" s="7" t="s">
        <v>669</v>
      </c>
      <c r="B321" s="7" t="s">
        <v>669</v>
      </c>
      <c r="C321" s="7" t="s">
        <v>617</v>
      </c>
      <c r="D321" s="7" t="s">
        <v>153</v>
      </c>
      <c r="E321" s="7" t="s">
        <v>657</v>
      </c>
      <c r="F321" s="48">
        <v>0</v>
      </c>
      <c r="G321" s="48">
        <v>0</v>
      </c>
      <c r="H321" s="48">
        <v>0</v>
      </c>
      <c r="I321" s="48">
        <v>0</v>
      </c>
      <c r="J321" s="48">
        <v>-15.59</v>
      </c>
      <c r="K321" s="7" t="s">
        <v>104</v>
      </c>
      <c r="L321" s="7" t="s">
        <v>103</v>
      </c>
      <c r="M321" s="7" t="s">
        <v>619</v>
      </c>
      <c r="N321" s="7" t="s">
        <v>117</v>
      </c>
    </row>
    <row r="322" spans="1:14" x14ac:dyDescent="0.25">
      <c r="A322" s="7" t="s">
        <v>669</v>
      </c>
      <c r="B322" s="7" t="s">
        <v>669</v>
      </c>
      <c r="C322" s="7" t="s">
        <v>617</v>
      </c>
      <c r="D322" s="7" t="s">
        <v>153</v>
      </c>
      <c r="E322" s="7" t="s">
        <v>657</v>
      </c>
      <c r="F322" s="48">
        <v>0</v>
      </c>
      <c r="G322" s="48">
        <v>0</v>
      </c>
      <c r="H322" s="48">
        <v>0</v>
      </c>
      <c r="I322" s="48">
        <v>0</v>
      </c>
      <c r="J322" s="48">
        <v>16.989999999999998</v>
      </c>
      <c r="K322" s="7" t="s">
        <v>620</v>
      </c>
      <c r="L322" s="7" t="s">
        <v>103</v>
      </c>
      <c r="M322" s="7" t="s">
        <v>619</v>
      </c>
      <c r="N322" s="7" t="s">
        <v>117</v>
      </c>
    </row>
    <row r="323" spans="1:14" x14ac:dyDescent="0.25">
      <c r="A323" s="7" t="s">
        <v>670</v>
      </c>
      <c r="B323" s="7" t="s">
        <v>670</v>
      </c>
      <c r="C323" s="7" t="s">
        <v>617</v>
      </c>
      <c r="D323" s="7" t="s">
        <v>153</v>
      </c>
      <c r="E323" s="7" t="s">
        <v>618</v>
      </c>
      <c r="F323" s="48">
        <v>0</v>
      </c>
      <c r="G323" s="48">
        <v>0</v>
      </c>
      <c r="H323" s="48">
        <v>0</v>
      </c>
      <c r="I323" s="48">
        <v>0</v>
      </c>
      <c r="J323" s="48">
        <v>500</v>
      </c>
      <c r="K323" s="7" t="s">
        <v>104</v>
      </c>
      <c r="L323" s="7" t="s">
        <v>103</v>
      </c>
      <c r="M323" s="7" t="s">
        <v>619</v>
      </c>
      <c r="N323" s="7" t="s">
        <v>117</v>
      </c>
    </row>
    <row r="324" spans="1:14" x14ac:dyDescent="0.25">
      <c r="A324" s="7" t="s">
        <v>670</v>
      </c>
      <c r="B324" s="7" t="s">
        <v>670</v>
      </c>
      <c r="C324" s="7" t="s">
        <v>617</v>
      </c>
      <c r="D324" s="7" t="s">
        <v>153</v>
      </c>
      <c r="E324" s="7" t="s">
        <v>618</v>
      </c>
      <c r="F324" s="48">
        <v>0</v>
      </c>
      <c r="G324" s="48">
        <v>0</v>
      </c>
      <c r="H324" s="48">
        <v>0</v>
      </c>
      <c r="I324" s="48">
        <v>0</v>
      </c>
      <c r="J324" s="48">
        <v>-566.65</v>
      </c>
      <c r="K324" s="7" t="s">
        <v>620</v>
      </c>
      <c r="L324" s="7" t="s">
        <v>103</v>
      </c>
      <c r="M324" s="7" t="s">
        <v>619</v>
      </c>
      <c r="N324" s="7" t="s">
        <v>117</v>
      </c>
    </row>
    <row r="325" spans="1:14" x14ac:dyDescent="0.25">
      <c r="A325" s="7" t="s">
        <v>671</v>
      </c>
      <c r="B325" s="7" t="s">
        <v>671</v>
      </c>
      <c r="C325" s="7" t="s">
        <v>617</v>
      </c>
      <c r="D325" s="7" t="s">
        <v>153</v>
      </c>
      <c r="E325" s="7" t="s">
        <v>657</v>
      </c>
      <c r="F325" s="48">
        <v>0</v>
      </c>
      <c r="G325" s="48">
        <v>0</v>
      </c>
      <c r="H325" s="48">
        <v>0</v>
      </c>
      <c r="I325" s="48">
        <v>0</v>
      </c>
      <c r="J325" s="48">
        <v>-711.03</v>
      </c>
      <c r="K325" s="7" t="s">
        <v>104</v>
      </c>
      <c r="L325" s="7" t="s">
        <v>103</v>
      </c>
      <c r="M325" s="7" t="s">
        <v>619</v>
      </c>
      <c r="N325" s="7" t="s">
        <v>117</v>
      </c>
    </row>
    <row r="326" spans="1:14" x14ac:dyDescent="0.25">
      <c r="A326" s="7" t="s">
        <v>671</v>
      </c>
      <c r="B326" s="7" t="s">
        <v>671</v>
      </c>
      <c r="C326" s="7" t="s">
        <v>617</v>
      </c>
      <c r="D326" s="7" t="s">
        <v>153</v>
      </c>
      <c r="E326" s="7" t="s">
        <v>657</v>
      </c>
      <c r="F326" s="48">
        <v>0</v>
      </c>
      <c r="G326" s="48">
        <v>0</v>
      </c>
      <c r="H326" s="48">
        <v>0</v>
      </c>
      <c r="I326" s="48">
        <v>0</v>
      </c>
      <c r="J326" s="48">
        <v>764.42</v>
      </c>
      <c r="K326" s="7" t="s">
        <v>620</v>
      </c>
      <c r="L326" s="7" t="s">
        <v>103</v>
      </c>
      <c r="M326" s="7" t="s">
        <v>619</v>
      </c>
      <c r="N326" s="7" t="s">
        <v>117</v>
      </c>
    </row>
    <row r="327" spans="1:14" x14ac:dyDescent="0.25">
      <c r="A327" s="7" t="s">
        <v>672</v>
      </c>
      <c r="B327" s="7" t="s">
        <v>672</v>
      </c>
      <c r="C327" s="7" t="s">
        <v>617</v>
      </c>
      <c r="D327" s="7" t="s">
        <v>153</v>
      </c>
      <c r="E327" s="7" t="s">
        <v>657</v>
      </c>
      <c r="F327" s="48">
        <v>0</v>
      </c>
      <c r="G327" s="48">
        <v>0</v>
      </c>
      <c r="H327" s="48">
        <v>0</v>
      </c>
      <c r="I327" s="48">
        <v>0</v>
      </c>
      <c r="J327" s="48">
        <v>-774.43</v>
      </c>
      <c r="K327" s="7" t="s">
        <v>104</v>
      </c>
      <c r="L327" s="7" t="s">
        <v>103</v>
      </c>
      <c r="M327" s="7" t="s">
        <v>619</v>
      </c>
      <c r="N327" s="7" t="s">
        <v>117</v>
      </c>
    </row>
    <row r="328" spans="1:14" x14ac:dyDescent="0.25">
      <c r="A328" s="7" t="s">
        <v>672</v>
      </c>
      <c r="B328" s="7" t="s">
        <v>672</v>
      </c>
      <c r="C328" s="7" t="s">
        <v>617</v>
      </c>
      <c r="D328" s="7" t="s">
        <v>153</v>
      </c>
      <c r="E328" s="7" t="s">
        <v>657</v>
      </c>
      <c r="F328" s="48">
        <v>0</v>
      </c>
      <c r="G328" s="48">
        <v>0</v>
      </c>
      <c r="H328" s="48">
        <v>0</v>
      </c>
      <c r="I328" s="48">
        <v>0</v>
      </c>
      <c r="J328" s="48">
        <v>836.3</v>
      </c>
      <c r="K328" s="7" t="s">
        <v>620</v>
      </c>
      <c r="L328" s="7" t="s">
        <v>103</v>
      </c>
      <c r="M328" s="7" t="s">
        <v>619</v>
      </c>
      <c r="N328" s="7" t="s">
        <v>117</v>
      </c>
    </row>
    <row r="329" spans="1:14" x14ac:dyDescent="0.25">
      <c r="A329" s="7" t="s">
        <v>673</v>
      </c>
      <c r="B329" s="7" t="s">
        <v>673</v>
      </c>
      <c r="C329" s="7" t="s">
        <v>617</v>
      </c>
      <c r="D329" s="7" t="s">
        <v>153</v>
      </c>
      <c r="E329" s="7" t="s">
        <v>618</v>
      </c>
      <c r="F329" s="48">
        <v>0</v>
      </c>
      <c r="G329" s="48">
        <v>0</v>
      </c>
      <c r="H329" s="48">
        <v>0</v>
      </c>
      <c r="I329" s="48">
        <v>0</v>
      </c>
      <c r="J329" s="48">
        <v>822.61</v>
      </c>
      <c r="K329" s="7" t="s">
        <v>104</v>
      </c>
      <c r="L329" s="7" t="s">
        <v>103</v>
      </c>
      <c r="M329" s="7" t="s">
        <v>619</v>
      </c>
      <c r="N329" s="7" t="s">
        <v>117</v>
      </c>
    </row>
    <row r="330" spans="1:14" x14ac:dyDescent="0.25">
      <c r="A330" s="7" t="s">
        <v>673</v>
      </c>
      <c r="B330" s="7" t="s">
        <v>673</v>
      </c>
      <c r="C330" s="7" t="s">
        <v>617</v>
      </c>
      <c r="D330" s="7" t="s">
        <v>153</v>
      </c>
      <c r="E330" s="7" t="s">
        <v>618</v>
      </c>
      <c r="F330" s="48">
        <v>0</v>
      </c>
      <c r="G330" s="48">
        <v>0</v>
      </c>
      <c r="H330" s="48">
        <v>0</v>
      </c>
      <c r="I330" s="48">
        <v>0</v>
      </c>
      <c r="J330" s="48">
        <v>-925.76</v>
      </c>
      <c r="K330" s="7" t="s">
        <v>620</v>
      </c>
      <c r="L330" s="7" t="s">
        <v>103</v>
      </c>
      <c r="M330" s="7" t="s">
        <v>619</v>
      </c>
      <c r="N330" s="7" t="s">
        <v>117</v>
      </c>
    </row>
    <row r="331" spans="1:14" x14ac:dyDescent="0.25">
      <c r="A331" s="7" t="s">
        <v>674</v>
      </c>
      <c r="B331" s="7" t="s">
        <v>674</v>
      </c>
      <c r="C331" s="7" t="s">
        <v>617</v>
      </c>
      <c r="D331" s="7" t="s">
        <v>153</v>
      </c>
      <c r="E331" s="7" t="s">
        <v>657</v>
      </c>
      <c r="F331" s="48">
        <v>0</v>
      </c>
      <c r="G331" s="48">
        <v>0</v>
      </c>
      <c r="H331" s="48">
        <v>0</v>
      </c>
      <c r="I331" s="48">
        <v>0</v>
      </c>
      <c r="J331" s="48">
        <v>-571.04</v>
      </c>
      <c r="K331" s="7" t="s">
        <v>104</v>
      </c>
      <c r="L331" s="7" t="s">
        <v>103</v>
      </c>
      <c r="M331" s="7" t="s">
        <v>619</v>
      </c>
      <c r="N331" s="7" t="s">
        <v>117</v>
      </c>
    </row>
    <row r="332" spans="1:14" x14ac:dyDescent="0.25">
      <c r="A332" s="7" t="s">
        <v>674</v>
      </c>
      <c r="B332" s="7" t="s">
        <v>674</v>
      </c>
      <c r="C332" s="7" t="s">
        <v>617</v>
      </c>
      <c r="D332" s="7" t="s">
        <v>153</v>
      </c>
      <c r="E332" s="7" t="s">
        <v>657</v>
      </c>
      <c r="F332" s="48">
        <v>0</v>
      </c>
      <c r="G332" s="48">
        <v>0</v>
      </c>
      <c r="H332" s="48">
        <v>0</v>
      </c>
      <c r="I332" s="48">
        <v>0</v>
      </c>
      <c r="J332" s="48">
        <v>626.42999999999995</v>
      </c>
      <c r="K332" s="7" t="s">
        <v>620</v>
      </c>
      <c r="L332" s="7" t="s">
        <v>103</v>
      </c>
      <c r="M332" s="7" t="s">
        <v>619</v>
      </c>
      <c r="N332" s="7" t="s">
        <v>117</v>
      </c>
    </row>
    <row r="333" spans="1:14" x14ac:dyDescent="0.25">
      <c r="A333" s="7" t="s">
        <v>675</v>
      </c>
      <c r="B333" s="7" t="s">
        <v>675</v>
      </c>
      <c r="C333" s="7" t="s">
        <v>617</v>
      </c>
      <c r="D333" s="7" t="s">
        <v>153</v>
      </c>
      <c r="E333" s="7" t="s">
        <v>657</v>
      </c>
      <c r="F333" s="48">
        <v>0</v>
      </c>
      <c r="G333" s="48">
        <v>0</v>
      </c>
      <c r="H333" s="48">
        <v>0</v>
      </c>
      <c r="I333" s="48">
        <v>0</v>
      </c>
      <c r="J333" s="48">
        <v>-1.87</v>
      </c>
      <c r="K333" s="7" t="s">
        <v>104</v>
      </c>
      <c r="L333" s="7" t="s">
        <v>103</v>
      </c>
      <c r="M333" s="7" t="s">
        <v>619</v>
      </c>
      <c r="N333" s="7" t="s">
        <v>117</v>
      </c>
    </row>
    <row r="334" spans="1:14" x14ac:dyDescent="0.25">
      <c r="A334" s="7" t="s">
        <v>675</v>
      </c>
      <c r="B334" s="7" t="s">
        <v>675</v>
      </c>
      <c r="C334" s="7" t="s">
        <v>617</v>
      </c>
      <c r="D334" s="7" t="s">
        <v>153</v>
      </c>
      <c r="E334" s="7" t="s">
        <v>657</v>
      </c>
      <c r="F334" s="48">
        <v>0</v>
      </c>
      <c r="G334" s="48">
        <v>0</v>
      </c>
      <c r="H334" s="48">
        <v>0</v>
      </c>
      <c r="I334" s="48">
        <v>0</v>
      </c>
      <c r="J334" s="48">
        <v>2.04</v>
      </c>
      <c r="K334" s="7" t="s">
        <v>620</v>
      </c>
      <c r="L334" s="7" t="s">
        <v>103</v>
      </c>
      <c r="M334" s="7" t="s">
        <v>619</v>
      </c>
      <c r="N334" s="7" t="s">
        <v>117</v>
      </c>
    </row>
    <row r="335" spans="1:14" x14ac:dyDescent="0.25">
      <c r="A335" s="7" t="s">
        <v>676</v>
      </c>
      <c r="B335" s="7" t="s">
        <v>676</v>
      </c>
      <c r="C335" s="7" t="s">
        <v>617</v>
      </c>
      <c r="D335" s="7" t="s">
        <v>153</v>
      </c>
      <c r="E335" s="7" t="s">
        <v>618</v>
      </c>
      <c r="F335" s="48">
        <v>0</v>
      </c>
      <c r="G335" s="48">
        <v>0</v>
      </c>
      <c r="H335" s="48">
        <v>0</v>
      </c>
      <c r="I335" s="48">
        <v>0</v>
      </c>
      <c r="J335" s="48">
        <v>531.35</v>
      </c>
      <c r="K335" s="7" t="s">
        <v>104</v>
      </c>
      <c r="L335" s="7" t="s">
        <v>103</v>
      </c>
      <c r="M335" s="7" t="s">
        <v>619</v>
      </c>
      <c r="N335" s="7" t="s">
        <v>117</v>
      </c>
    </row>
    <row r="336" spans="1:14" x14ac:dyDescent="0.25">
      <c r="A336" s="7" t="s">
        <v>676</v>
      </c>
      <c r="B336" s="7" t="s">
        <v>676</v>
      </c>
      <c r="C336" s="7" t="s">
        <v>617</v>
      </c>
      <c r="D336" s="7" t="s">
        <v>153</v>
      </c>
      <c r="E336" s="7" t="s">
        <v>618</v>
      </c>
      <c r="F336" s="48">
        <v>0</v>
      </c>
      <c r="G336" s="48">
        <v>0</v>
      </c>
      <c r="H336" s="48">
        <v>0</v>
      </c>
      <c r="I336" s="48">
        <v>0</v>
      </c>
      <c r="J336" s="48">
        <v>-593.57000000000005</v>
      </c>
      <c r="K336" s="7" t="s">
        <v>620</v>
      </c>
      <c r="L336" s="7" t="s">
        <v>103</v>
      </c>
      <c r="M336" s="7" t="s">
        <v>619</v>
      </c>
      <c r="N336" s="7" t="s">
        <v>117</v>
      </c>
    </row>
    <row r="337" spans="1:14" x14ac:dyDescent="0.25">
      <c r="A337" s="7" t="s">
        <v>677</v>
      </c>
      <c r="B337" s="7" t="s">
        <v>677</v>
      </c>
      <c r="C337" s="7" t="s">
        <v>617</v>
      </c>
      <c r="D337" s="7" t="s">
        <v>153</v>
      </c>
      <c r="E337" s="7" t="s">
        <v>657</v>
      </c>
      <c r="F337" s="48">
        <v>0</v>
      </c>
      <c r="G337" s="48">
        <v>0</v>
      </c>
      <c r="H337" s="48">
        <v>0</v>
      </c>
      <c r="I337" s="48">
        <v>0</v>
      </c>
      <c r="J337" s="48">
        <v>-415.04</v>
      </c>
      <c r="K337" s="7" t="s">
        <v>104</v>
      </c>
      <c r="L337" s="7" t="s">
        <v>103</v>
      </c>
      <c r="M337" s="7" t="s">
        <v>619</v>
      </c>
      <c r="N337" s="7" t="s">
        <v>117</v>
      </c>
    </row>
    <row r="338" spans="1:14" x14ac:dyDescent="0.25">
      <c r="A338" s="7" t="s">
        <v>677</v>
      </c>
      <c r="B338" s="7" t="s">
        <v>677</v>
      </c>
      <c r="C338" s="7" t="s">
        <v>617</v>
      </c>
      <c r="D338" s="7" t="s">
        <v>153</v>
      </c>
      <c r="E338" s="7" t="s">
        <v>657</v>
      </c>
      <c r="F338" s="48">
        <v>0</v>
      </c>
      <c r="G338" s="48">
        <v>0</v>
      </c>
      <c r="H338" s="48">
        <v>0</v>
      </c>
      <c r="I338" s="48">
        <v>0</v>
      </c>
      <c r="J338" s="48">
        <v>438.69</v>
      </c>
      <c r="K338" s="7" t="s">
        <v>620</v>
      </c>
      <c r="L338" s="7" t="s">
        <v>103</v>
      </c>
      <c r="M338" s="7" t="s">
        <v>619</v>
      </c>
      <c r="N338" s="7" t="s">
        <v>117</v>
      </c>
    </row>
    <row r="339" spans="1:14" x14ac:dyDescent="0.25">
      <c r="A339" s="7" t="s">
        <v>678</v>
      </c>
      <c r="B339" s="7" t="s">
        <v>678</v>
      </c>
      <c r="C339" s="7" t="s">
        <v>617</v>
      </c>
      <c r="D339" s="7" t="s">
        <v>153</v>
      </c>
      <c r="E339" s="7" t="s">
        <v>657</v>
      </c>
      <c r="F339" s="48">
        <v>0</v>
      </c>
      <c r="G339" s="48">
        <v>0</v>
      </c>
      <c r="H339" s="48">
        <v>0</v>
      </c>
      <c r="I339" s="48">
        <v>0</v>
      </c>
      <c r="J339" s="48">
        <v>-3.06</v>
      </c>
      <c r="K339" s="7" t="s">
        <v>104</v>
      </c>
      <c r="L339" s="7" t="s">
        <v>103</v>
      </c>
      <c r="M339" s="7" t="s">
        <v>619</v>
      </c>
      <c r="N339" s="7" t="s">
        <v>117</v>
      </c>
    </row>
    <row r="340" spans="1:14" x14ac:dyDescent="0.25">
      <c r="A340" s="7" t="s">
        <v>678</v>
      </c>
      <c r="B340" s="7" t="s">
        <v>678</v>
      </c>
      <c r="C340" s="7" t="s">
        <v>617</v>
      </c>
      <c r="D340" s="7" t="s">
        <v>153</v>
      </c>
      <c r="E340" s="7" t="s">
        <v>657</v>
      </c>
      <c r="F340" s="48">
        <v>0</v>
      </c>
      <c r="G340" s="48">
        <v>0</v>
      </c>
      <c r="H340" s="48">
        <v>0</v>
      </c>
      <c r="I340" s="48">
        <v>0</v>
      </c>
      <c r="J340" s="48">
        <v>3.19</v>
      </c>
      <c r="K340" s="7" t="s">
        <v>620</v>
      </c>
      <c r="L340" s="7" t="s">
        <v>103</v>
      </c>
      <c r="M340" s="7" t="s">
        <v>619</v>
      </c>
      <c r="N340" s="7" t="s">
        <v>117</v>
      </c>
    </row>
    <row r="341" spans="1:14" x14ac:dyDescent="0.25">
      <c r="A341" s="7" t="s">
        <v>679</v>
      </c>
      <c r="B341" s="7" t="s">
        <v>679</v>
      </c>
      <c r="C341" s="7" t="s">
        <v>617</v>
      </c>
      <c r="D341" s="7" t="s">
        <v>153</v>
      </c>
      <c r="E341" s="7" t="s">
        <v>657</v>
      </c>
      <c r="F341" s="48">
        <v>0</v>
      </c>
      <c r="G341" s="48">
        <v>0</v>
      </c>
      <c r="H341" s="48">
        <v>0</v>
      </c>
      <c r="I341" s="48">
        <v>0</v>
      </c>
      <c r="J341" s="48">
        <v>-5.0999999999999996</v>
      </c>
      <c r="K341" s="7" t="s">
        <v>104</v>
      </c>
      <c r="L341" s="7" t="s">
        <v>103</v>
      </c>
      <c r="M341" s="7" t="s">
        <v>619</v>
      </c>
      <c r="N341" s="7" t="s">
        <v>117</v>
      </c>
    </row>
    <row r="342" spans="1:14" x14ac:dyDescent="0.25">
      <c r="A342" s="7" t="s">
        <v>679</v>
      </c>
      <c r="B342" s="7" t="s">
        <v>679</v>
      </c>
      <c r="C342" s="7" t="s">
        <v>617</v>
      </c>
      <c r="D342" s="7" t="s">
        <v>153</v>
      </c>
      <c r="E342" s="7" t="s">
        <v>657</v>
      </c>
      <c r="F342" s="48">
        <v>0</v>
      </c>
      <c r="G342" s="48">
        <v>0</v>
      </c>
      <c r="H342" s="48">
        <v>0</v>
      </c>
      <c r="I342" s="48">
        <v>0</v>
      </c>
      <c r="J342" s="48">
        <v>5.31</v>
      </c>
      <c r="K342" s="7" t="s">
        <v>620</v>
      </c>
      <c r="L342" s="7" t="s">
        <v>103</v>
      </c>
      <c r="M342" s="7" t="s">
        <v>619</v>
      </c>
      <c r="N342" s="7" t="s">
        <v>117</v>
      </c>
    </row>
    <row r="343" spans="1:14" x14ac:dyDescent="0.25">
      <c r="A343" s="7" t="s">
        <v>680</v>
      </c>
      <c r="B343" s="7" t="s">
        <v>680</v>
      </c>
      <c r="C343" s="7" t="s">
        <v>617</v>
      </c>
      <c r="D343" s="7" t="s">
        <v>153</v>
      </c>
      <c r="E343" s="7" t="s">
        <v>657</v>
      </c>
      <c r="F343" s="48">
        <v>0</v>
      </c>
      <c r="G343" s="48">
        <v>0</v>
      </c>
      <c r="H343" s="48">
        <v>0</v>
      </c>
      <c r="I343" s="48">
        <v>0</v>
      </c>
      <c r="J343" s="48">
        <v>-0.62</v>
      </c>
      <c r="K343" s="7" t="s">
        <v>104</v>
      </c>
      <c r="L343" s="7" t="s">
        <v>103</v>
      </c>
      <c r="M343" s="7" t="s">
        <v>619</v>
      </c>
      <c r="N343" s="7" t="s">
        <v>117</v>
      </c>
    </row>
    <row r="344" spans="1:14" x14ac:dyDescent="0.25">
      <c r="A344" s="7" t="s">
        <v>680</v>
      </c>
      <c r="B344" s="7" t="s">
        <v>680</v>
      </c>
      <c r="C344" s="7" t="s">
        <v>617</v>
      </c>
      <c r="D344" s="7" t="s">
        <v>153</v>
      </c>
      <c r="E344" s="7" t="s">
        <v>657</v>
      </c>
      <c r="F344" s="48">
        <v>0</v>
      </c>
      <c r="G344" s="48">
        <v>0</v>
      </c>
      <c r="H344" s="48">
        <v>0</v>
      </c>
      <c r="I344" s="48">
        <v>0</v>
      </c>
      <c r="J344" s="48">
        <v>0.64</v>
      </c>
      <c r="K344" s="7" t="s">
        <v>620</v>
      </c>
      <c r="L344" s="7" t="s">
        <v>103</v>
      </c>
      <c r="M344" s="7" t="s">
        <v>619</v>
      </c>
      <c r="N344" s="7" t="s">
        <v>117</v>
      </c>
    </row>
    <row r="345" spans="1:14" x14ac:dyDescent="0.25">
      <c r="A345" s="7" t="s">
        <v>681</v>
      </c>
      <c r="B345" s="7" t="s">
        <v>681</v>
      </c>
      <c r="C345" s="7" t="s">
        <v>617</v>
      </c>
      <c r="D345" s="7" t="s">
        <v>153</v>
      </c>
      <c r="E345" s="7" t="s">
        <v>657</v>
      </c>
      <c r="F345" s="48">
        <v>0</v>
      </c>
      <c r="G345" s="48">
        <v>0</v>
      </c>
      <c r="H345" s="48">
        <v>0</v>
      </c>
      <c r="I345" s="48">
        <v>0</v>
      </c>
      <c r="J345" s="48">
        <v>-21.75</v>
      </c>
      <c r="K345" s="7" t="s">
        <v>104</v>
      </c>
      <c r="L345" s="7" t="s">
        <v>103</v>
      </c>
      <c r="M345" s="7" t="s">
        <v>619</v>
      </c>
      <c r="N345" s="7" t="s">
        <v>117</v>
      </c>
    </row>
    <row r="346" spans="1:14" x14ac:dyDescent="0.25">
      <c r="A346" s="7" t="s">
        <v>681</v>
      </c>
      <c r="B346" s="7" t="s">
        <v>681</v>
      </c>
      <c r="C346" s="7" t="s">
        <v>617</v>
      </c>
      <c r="D346" s="7" t="s">
        <v>153</v>
      </c>
      <c r="E346" s="7" t="s">
        <v>657</v>
      </c>
      <c r="F346" s="48">
        <v>0</v>
      </c>
      <c r="G346" s="48">
        <v>0</v>
      </c>
      <c r="H346" s="48">
        <v>0</v>
      </c>
      <c r="I346" s="48">
        <v>0</v>
      </c>
      <c r="J346" s="48">
        <v>22.34</v>
      </c>
      <c r="K346" s="7" t="s">
        <v>620</v>
      </c>
      <c r="L346" s="7" t="s">
        <v>103</v>
      </c>
      <c r="M346" s="7" t="s">
        <v>619</v>
      </c>
      <c r="N346" s="7" t="s">
        <v>117</v>
      </c>
    </row>
    <row r="347" spans="1:14" x14ac:dyDescent="0.25">
      <c r="A347" s="7" t="s">
        <v>682</v>
      </c>
      <c r="B347" s="7" t="s">
        <v>682</v>
      </c>
      <c r="C347" s="7" t="s">
        <v>617</v>
      </c>
      <c r="D347" s="7" t="s">
        <v>153</v>
      </c>
      <c r="E347" s="7" t="s">
        <v>657</v>
      </c>
      <c r="F347" s="48">
        <v>0</v>
      </c>
      <c r="G347" s="48">
        <v>0</v>
      </c>
      <c r="H347" s="48">
        <v>0</v>
      </c>
      <c r="I347" s="48">
        <v>0</v>
      </c>
      <c r="J347" s="48">
        <v>-1.33</v>
      </c>
      <c r="K347" s="7" t="s">
        <v>104</v>
      </c>
      <c r="L347" s="7" t="s">
        <v>103</v>
      </c>
      <c r="M347" s="7" t="s">
        <v>619</v>
      </c>
      <c r="N347" s="7" t="s">
        <v>117</v>
      </c>
    </row>
    <row r="348" spans="1:14" x14ac:dyDescent="0.25">
      <c r="A348" s="7" t="s">
        <v>682</v>
      </c>
      <c r="B348" s="7" t="s">
        <v>682</v>
      </c>
      <c r="C348" s="7" t="s">
        <v>617</v>
      </c>
      <c r="D348" s="7" t="s">
        <v>153</v>
      </c>
      <c r="E348" s="7" t="s">
        <v>657</v>
      </c>
      <c r="F348" s="48">
        <v>0</v>
      </c>
      <c r="G348" s="48">
        <v>0</v>
      </c>
      <c r="H348" s="48">
        <v>0</v>
      </c>
      <c r="I348" s="48">
        <v>0</v>
      </c>
      <c r="J348" s="48">
        <v>1.36</v>
      </c>
      <c r="K348" s="7" t="s">
        <v>620</v>
      </c>
      <c r="L348" s="7" t="s">
        <v>103</v>
      </c>
      <c r="M348" s="7" t="s">
        <v>619</v>
      </c>
      <c r="N348" s="7" t="s">
        <v>117</v>
      </c>
    </row>
    <row r="349" spans="1:14" x14ac:dyDescent="0.25">
      <c r="A349" s="7" t="s">
        <v>469</v>
      </c>
      <c r="B349" s="7" t="s">
        <v>469</v>
      </c>
      <c r="C349" s="7" t="s">
        <v>617</v>
      </c>
      <c r="D349" s="7" t="s">
        <v>153</v>
      </c>
      <c r="E349" s="7" t="s">
        <v>618</v>
      </c>
      <c r="F349" s="48">
        <v>0</v>
      </c>
      <c r="G349" s="48">
        <v>0</v>
      </c>
      <c r="H349" s="48">
        <v>0</v>
      </c>
      <c r="I349" s="48">
        <v>0</v>
      </c>
      <c r="J349" s="48">
        <v>701.76</v>
      </c>
      <c r="K349" s="7" t="s">
        <v>104</v>
      </c>
      <c r="L349" s="7" t="s">
        <v>103</v>
      </c>
      <c r="M349" s="7" t="s">
        <v>619</v>
      </c>
      <c r="N349" s="7" t="s">
        <v>117</v>
      </c>
    </row>
    <row r="350" spans="1:14" x14ac:dyDescent="0.25">
      <c r="A350" s="7" t="s">
        <v>469</v>
      </c>
      <c r="B350" s="7" t="s">
        <v>469</v>
      </c>
      <c r="C350" s="7" t="s">
        <v>617</v>
      </c>
      <c r="D350" s="7" t="s">
        <v>153</v>
      </c>
      <c r="E350" s="7" t="s">
        <v>618</v>
      </c>
      <c r="F350" s="48">
        <v>0</v>
      </c>
      <c r="G350" s="48">
        <v>0</v>
      </c>
      <c r="H350" s="48">
        <v>0</v>
      </c>
      <c r="I350" s="48">
        <v>0</v>
      </c>
      <c r="J350" s="48">
        <v>-747.44</v>
      </c>
      <c r="K350" s="7" t="s">
        <v>620</v>
      </c>
      <c r="L350" s="7" t="s">
        <v>103</v>
      </c>
      <c r="M350" s="7" t="s">
        <v>619</v>
      </c>
      <c r="N350" s="7" t="s">
        <v>117</v>
      </c>
    </row>
    <row r="351" spans="1:14" x14ac:dyDescent="0.25">
      <c r="A351" s="7" t="s">
        <v>683</v>
      </c>
      <c r="B351" s="7" t="s">
        <v>683</v>
      </c>
      <c r="C351" s="7" t="s">
        <v>617</v>
      </c>
      <c r="D351" s="7" t="s">
        <v>153</v>
      </c>
      <c r="E351" s="7" t="s">
        <v>657</v>
      </c>
      <c r="F351" s="48">
        <v>0</v>
      </c>
      <c r="G351" s="48">
        <v>0</v>
      </c>
      <c r="H351" s="48">
        <v>0</v>
      </c>
      <c r="I351" s="48">
        <v>0</v>
      </c>
      <c r="J351" s="48">
        <v>-205.05</v>
      </c>
      <c r="K351" s="7" t="s">
        <v>104</v>
      </c>
      <c r="L351" s="7" t="s">
        <v>103</v>
      </c>
      <c r="M351" s="7" t="s">
        <v>619</v>
      </c>
      <c r="N351" s="7" t="s">
        <v>117</v>
      </c>
    </row>
    <row r="352" spans="1:14" x14ac:dyDescent="0.25">
      <c r="A352" s="7" t="s">
        <v>683</v>
      </c>
      <c r="B352" s="7" t="s">
        <v>683</v>
      </c>
      <c r="C352" s="7" t="s">
        <v>617</v>
      </c>
      <c r="D352" s="7" t="s">
        <v>153</v>
      </c>
      <c r="E352" s="7" t="s">
        <v>657</v>
      </c>
      <c r="F352" s="48">
        <v>0</v>
      </c>
      <c r="G352" s="48">
        <v>0</v>
      </c>
      <c r="H352" s="48">
        <v>0</v>
      </c>
      <c r="I352" s="48">
        <v>0</v>
      </c>
      <c r="J352" s="48">
        <v>209.6</v>
      </c>
      <c r="K352" s="7" t="s">
        <v>620</v>
      </c>
      <c r="L352" s="7" t="s">
        <v>103</v>
      </c>
      <c r="M352" s="7" t="s">
        <v>619</v>
      </c>
      <c r="N352" s="7" t="s">
        <v>117</v>
      </c>
    </row>
    <row r="353" spans="1:14" x14ac:dyDescent="0.25">
      <c r="A353" s="7" t="s">
        <v>684</v>
      </c>
      <c r="B353" s="7" t="s">
        <v>684</v>
      </c>
      <c r="C353" s="7" t="s">
        <v>617</v>
      </c>
      <c r="D353" s="7" t="s">
        <v>153</v>
      </c>
      <c r="E353" s="7" t="s">
        <v>618</v>
      </c>
      <c r="F353" s="48">
        <v>0</v>
      </c>
      <c r="G353" s="48">
        <v>0</v>
      </c>
      <c r="H353" s="48">
        <v>0</v>
      </c>
      <c r="I353" s="48">
        <v>0</v>
      </c>
      <c r="J353" s="48">
        <v>324.95</v>
      </c>
      <c r="K353" s="7" t="s">
        <v>104</v>
      </c>
      <c r="L353" s="7" t="s">
        <v>103</v>
      </c>
      <c r="M353" s="7" t="s">
        <v>619</v>
      </c>
      <c r="N353" s="7" t="s">
        <v>117</v>
      </c>
    </row>
    <row r="354" spans="1:14" x14ac:dyDescent="0.25">
      <c r="A354" s="7" t="s">
        <v>684</v>
      </c>
      <c r="B354" s="7" t="s">
        <v>684</v>
      </c>
      <c r="C354" s="7" t="s">
        <v>617</v>
      </c>
      <c r="D354" s="7" t="s">
        <v>153</v>
      </c>
      <c r="E354" s="7" t="s">
        <v>618</v>
      </c>
      <c r="F354" s="48">
        <v>0</v>
      </c>
      <c r="G354" s="48">
        <v>0</v>
      </c>
      <c r="H354" s="48">
        <v>0</v>
      </c>
      <c r="I354" s="48">
        <v>0</v>
      </c>
      <c r="J354" s="48">
        <v>-340.8</v>
      </c>
      <c r="K354" s="7" t="s">
        <v>620</v>
      </c>
      <c r="L354" s="7" t="s">
        <v>103</v>
      </c>
      <c r="M354" s="7" t="s">
        <v>619</v>
      </c>
      <c r="N354" s="7" t="s">
        <v>117</v>
      </c>
    </row>
    <row r="355" spans="1:14" x14ac:dyDescent="0.25">
      <c r="A355" s="7" t="s">
        <v>685</v>
      </c>
      <c r="B355" s="7" t="s">
        <v>685</v>
      </c>
      <c r="C355" s="7" t="s">
        <v>617</v>
      </c>
      <c r="D355" s="7" t="s">
        <v>153</v>
      </c>
      <c r="E355" s="7" t="s">
        <v>618</v>
      </c>
      <c r="F355" s="48">
        <v>0</v>
      </c>
      <c r="G355" s="48">
        <v>0</v>
      </c>
      <c r="H355" s="48">
        <v>0</v>
      </c>
      <c r="I355" s="48">
        <v>0</v>
      </c>
      <c r="J355" s="48">
        <v>484.35</v>
      </c>
      <c r="K355" s="7" t="s">
        <v>104</v>
      </c>
      <c r="L355" s="7" t="s">
        <v>103</v>
      </c>
      <c r="M355" s="7" t="s">
        <v>619</v>
      </c>
      <c r="N355" s="7" t="s">
        <v>117</v>
      </c>
    </row>
    <row r="356" spans="1:14" x14ac:dyDescent="0.25">
      <c r="A356" s="7" t="s">
        <v>685</v>
      </c>
      <c r="B356" s="7" t="s">
        <v>685</v>
      </c>
      <c r="C356" s="7" t="s">
        <v>617</v>
      </c>
      <c r="D356" s="7" t="s">
        <v>153</v>
      </c>
      <c r="E356" s="7" t="s">
        <v>618</v>
      </c>
      <c r="F356" s="48">
        <v>0</v>
      </c>
      <c r="G356" s="48">
        <v>0</v>
      </c>
      <c r="H356" s="48">
        <v>0</v>
      </c>
      <c r="I356" s="48">
        <v>0</v>
      </c>
      <c r="J356" s="48">
        <v>-513.26</v>
      </c>
      <c r="K356" s="7" t="s">
        <v>620</v>
      </c>
      <c r="L356" s="7" t="s">
        <v>103</v>
      </c>
      <c r="M356" s="7" t="s">
        <v>619</v>
      </c>
      <c r="N356" s="7" t="s">
        <v>117</v>
      </c>
    </row>
    <row r="357" spans="1:14" x14ac:dyDescent="0.25">
      <c r="A357" s="7" t="s">
        <v>686</v>
      </c>
      <c r="B357" s="7" t="s">
        <v>686</v>
      </c>
      <c r="C357" s="7" t="s">
        <v>617</v>
      </c>
      <c r="D357" s="7" t="s">
        <v>153</v>
      </c>
      <c r="E357" s="7" t="s">
        <v>657</v>
      </c>
      <c r="F357" s="48">
        <v>0</v>
      </c>
      <c r="G357" s="48">
        <v>0</v>
      </c>
      <c r="H357" s="48">
        <v>0</v>
      </c>
      <c r="I357" s="48">
        <v>0</v>
      </c>
      <c r="J357" s="48">
        <v>-282.29000000000002</v>
      </c>
      <c r="K357" s="7" t="s">
        <v>104</v>
      </c>
      <c r="L357" s="7" t="s">
        <v>103</v>
      </c>
      <c r="M357" s="7" t="s">
        <v>619</v>
      </c>
      <c r="N357" s="7" t="s">
        <v>117</v>
      </c>
    </row>
    <row r="358" spans="1:14" x14ac:dyDescent="0.25">
      <c r="A358" s="7" t="s">
        <v>686</v>
      </c>
      <c r="B358" s="7" t="s">
        <v>686</v>
      </c>
      <c r="C358" s="7" t="s">
        <v>617</v>
      </c>
      <c r="D358" s="7" t="s">
        <v>153</v>
      </c>
      <c r="E358" s="7" t="s">
        <v>657</v>
      </c>
      <c r="F358" s="48">
        <v>0</v>
      </c>
      <c r="G358" s="48">
        <v>0</v>
      </c>
      <c r="H358" s="48">
        <v>0</v>
      </c>
      <c r="I358" s="48">
        <v>0</v>
      </c>
      <c r="J358" s="48">
        <v>285.05</v>
      </c>
      <c r="K358" s="7" t="s">
        <v>620</v>
      </c>
      <c r="L358" s="7" t="s">
        <v>103</v>
      </c>
      <c r="M358" s="7" t="s">
        <v>619</v>
      </c>
      <c r="N358" s="7" t="s">
        <v>117</v>
      </c>
    </row>
    <row r="359" spans="1:14" x14ac:dyDescent="0.25">
      <c r="A359" s="7" t="s">
        <v>687</v>
      </c>
      <c r="B359" s="7" t="s">
        <v>687</v>
      </c>
      <c r="C359" s="7" t="s">
        <v>617</v>
      </c>
      <c r="D359" s="7" t="s">
        <v>153</v>
      </c>
      <c r="E359" s="7" t="s">
        <v>618</v>
      </c>
      <c r="F359" s="48">
        <v>0</v>
      </c>
      <c r="G359" s="48">
        <v>0</v>
      </c>
      <c r="H359" s="48">
        <v>0</v>
      </c>
      <c r="I359" s="48">
        <v>0</v>
      </c>
      <c r="J359" s="48">
        <v>483.75</v>
      </c>
      <c r="K359" s="7" t="s">
        <v>104</v>
      </c>
      <c r="L359" s="7" t="s">
        <v>103</v>
      </c>
      <c r="M359" s="7" t="s">
        <v>619</v>
      </c>
      <c r="N359" s="7" t="s">
        <v>117</v>
      </c>
    </row>
    <row r="360" spans="1:14" x14ac:dyDescent="0.25">
      <c r="A360" s="7" t="s">
        <v>687</v>
      </c>
      <c r="B360" s="7" t="s">
        <v>687</v>
      </c>
      <c r="C360" s="7" t="s">
        <v>617</v>
      </c>
      <c r="D360" s="7" t="s">
        <v>153</v>
      </c>
      <c r="E360" s="7" t="s">
        <v>618</v>
      </c>
      <c r="F360" s="48">
        <v>0</v>
      </c>
      <c r="G360" s="48">
        <v>0</v>
      </c>
      <c r="H360" s="48">
        <v>0</v>
      </c>
      <c r="I360" s="48">
        <v>0</v>
      </c>
      <c r="J360" s="48">
        <v>-509.72</v>
      </c>
      <c r="K360" s="7" t="s">
        <v>620</v>
      </c>
      <c r="L360" s="7" t="s">
        <v>103</v>
      </c>
      <c r="M360" s="7" t="s">
        <v>619</v>
      </c>
      <c r="N360" s="7" t="s">
        <v>117</v>
      </c>
    </row>
    <row r="361" spans="1:14" x14ac:dyDescent="0.25">
      <c r="A361" s="7" t="s">
        <v>688</v>
      </c>
      <c r="B361" s="7" t="s">
        <v>688</v>
      </c>
      <c r="C361" s="7" t="s">
        <v>617</v>
      </c>
      <c r="D361" s="7" t="s">
        <v>153</v>
      </c>
      <c r="E361" s="7" t="s">
        <v>618</v>
      </c>
      <c r="F361" s="48">
        <v>0</v>
      </c>
      <c r="G361" s="48">
        <v>0</v>
      </c>
      <c r="H361" s="48">
        <v>0</v>
      </c>
      <c r="I361" s="48">
        <v>0</v>
      </c>
      <c r="J361" s="48">
        <v>12.31</v>
      </c>
      <c r="K361" s="7" t="s">
        <v>104</v>
      </c>
      <c r="L361" s="7" t="s">
        <v>103</v>
      </c>
      <c r="M361" s="7" t="s">
        <v>619</v>
      </c>
      <c r="N361" s="7" t="s">
        <v>117</v>
      </c>
    </row>
    <row r="362" spans="1:14" x14ac:dyDescent="0.25">
      <c r="A362" s="7" t="s">
        <v>688</v>
      </c>
      <c r="B362" s="7" t="s">
        <v>688</v>
      </c>
      <c r="C362" s="7" t="s">
        <v>617</v>
      </c>
      <c r="D362" s="7" t="s">
        <v>153</v>
      </c>
      <c r="E362" s="7" t="s">
        <v>618</v>
      </c>
      <c r="F362" s="48">
        <v>0</v>
      </c>
      <c r="G362" s="48">
        <v>0</v>
      </c>
      <c r="H362" s="48">
        <v>0</v>
      </c>
      <c r="I362" s="48">
        <v>0</v>
      </c>
      <c r="J362" s="48">
        <v>-13.16</v>
      </c>
      <c r="K362" s="7" t="s">
        <v>620</v>
      </c>
      <c r="L362" s="7" t="s">
        <v>103</v>
      </c>
      <c r="M362" s="7" t="s">
        <v>619</v>
      </c>
      <c r="N362" s="7" t="s">
        <v>117</v>
      </c>
    </row>
    <row r="363" spans="1:14" x14ac:dyDescent="0.25">
      <c r="A363" s="7" t="s">
        <v>689</v>
      </c>
      <c r="B363" s="7" t="s">
        <v>689</v>
      </c>
      <c r="C363" s="7" t="s">
        <v>617</v>
      </c>
      <c r="D363" s="7" t="s">
        <v>153</v>
      </c>
      <c r="E363" s="7" t="s">
        <v>657</v>
      </c>
      <c r="F363" s="48">
        <v>0</v>
      </c>
      <c r="G363" s="48">
        <v>0</v>
      </c>
      <c r="H363" s="48">
        <v>0</v>
      </c>
      <c r="I363" s="48">
        <v>0</v>
      </c>
      <c r="J363" s="48">
        <v>-8.81</v>
      </c>
      <c r="K363" s="7" t="s">
        <v>104</v>
      </c>
      <c r="L363" s="7" t="s">
        <v>103</v>
      </c>
      <c r="M363" s="7" t="s">
        <v>619</v>
      </c>
      <c r="N363" s="7" t="s">
        <v>117</v>
      </c>
    </row>
    <row r="364" spans="1:14" x14ac:dyDescent="0.25">
      <c r="A364" s="7" t="s">
        <v>689</v>
      </c>
      <c r="B364" s="7" t="s">
        <v>689</v>
      </c>
      <c r="C364" s="7" t="s">
        <v>617</v>
      </c>
      <c r="D364" s="7" t="s">
        <v>153</v>
      </c>
      <c r="E364" s="7" t="s">
        <v>657</v>
      </c>
      <c r="F364" s="48">
        <v>0</v>
      </c>
      <c r="G364" s="48">
        <v>0</v>
      </c>
      <c r="H364" s="48">
        <v>0</v>
      </c>
      <c r="I364" s="48">
        <v>0</v>
      </c>
      <c r="J364" s="48">
        <v>8.9</v>
      </c>
      <c r="K364" s="7" t="s">
        <v>620</v>
      </c>
      <c r="L364" s="7" t="s">
        <v>103</v>
      </c>
      <c r="M364" s="7" t="s">
        <v>619</v>
      </c>
      <c r="N364" s="7" t="s">
        <v>117</v>
      </c>
    </row>
    <row r="365" spans="1:14" x14ac:dyDescent="0.25">
      <c r="A365" s="7" t="s">
        <v>690</v>
      </c>
      <c r="B365" s="7" t="s">
        <v>690</v>
      </c>
      <c r="C365" s="7" t="s">
        <v>617</v>
      </c>
      <c r="D365" s="7" t="s">
        <v>153</v>
      </c>
      <c r="E365" s="7" t="s">
        <v>618</v>
      </c>
      <c r="F365" s="48">
        <v>0</v>
      </c>
      <c r="G365" s="48">
        <v>0</v>
      </c>
      <c r="H365" s="48">
        <v>0</v>
      </c>
      <c r="I365" s="48">
        <v>0</v>
      </c>
      <c r="J365" s="48">
        <v>403.74</v>
      </c>
      <c r="K365" s="7" t="s">
        <v>104</v>
      </c>
      <c r="L365" s="7" t="s">
        <v>103</v>
      </c>
      <c r="M365" s="7" t="s">
        <v>619</v>
      </c>
      <c r="N365" s="7" t="s">
        <v>117</v>
      </c>
    </row>
    <row r="366" spans="1:14" x14ac:dyDescent="0.25">
      <c r="A366" s="7" t="s">
        <v>690</v>
      </c>
      <c r="B366" s="7" t="s">
        <v>690</v>
      </c>
      <c r="C366" s="7" t="s">
        <v>617</v>
      </c>
      <c r="D366" s="7" t="s">
        <v>153</v>
      </c>
      <c r="E366" s="7" t="s">
        <v>618</v>
      </c>
      <c r="F366" s="48">
        <v>0</v>
      </c>
      <c r="G366" s="48">
        <v>0</v>
      </c>
      <c r="H366" s="48">
        <v>0</v>
      </c>
      <c r="I366" s="48">
        <v>0</v>
      </c>
      <c r="J366" s="48">
        <v>-423.68</v>
      </c>
      <c r="K366" s="7" t="s">
        <v>620</v>
      </c>
      <c r="L366" s="7" t="s">
        <v>103</v>
      </c>
      <c r="M366" s="7" t="s">
        <v>619</v>
      </c>
      <c r="N366" s="7" t="s">
        <v>117</v>
      </c>
    </row>
    <row r="367" spans="1:14" x14ac:dyDescent="0.25">
      <c r="A367" s="7" t="s">
        <v>691</v>
      </c>
      <c r="B367" s="7" t="s">
        <v>691</v>
      </c>
      <c r="C367" s="7" t="s">
        <v>617</v>
      </c>
      <c r="D367" s="7" t="s">
        <v>153</v>
      </c>
      <c r="E367" s="7" t="s">
        <v>618</v>
      </c>
      <c r="F367" s="48">
        <v>0</v>
      </c>
      <c r="G367" s="48">
        <v>0</v>
      </c>
      <c r="H367" s="48">
        <v>0</v>
      </c>
      <c r="I367" s="48">
        <v>0</v>
      </c>
      <c r="J367" s="48">
        <v>0.01</v>
      </c>
      <c r="K367" s="7" t="s">
        <v>104</v>
      </c>
      <c r="L367" s="7" t="s">
        <v>103</v>
      </c>
      <c r="M367" s="7" t="s">
        <v>619</v>
      </c>
      <c r="N367" s="7" t="s">
        <v>117</v>
      </c>
    </row>
    <row r="368" spans="1:14" x14ac:dyDescent="0.25">
      <c r="A368" s="7" t="s">
        <v>691</v>
      </c>
      <c r="B368" s="7" t="s">
        <v>691</v>
      </c>
      <c r="C368" s="7" t="s">
        <v>617</v>
      </c>
      <c r="D368" s="7" t="s">
        <v>153</v>
      </c>
      <c r="E368" s="7" t="s">
        <v>618</v>
      </c>
      <c r="F368" s="48">
        <v>0</v>
      </c>
      <c r="G368" s="48">
        <v>0</v>
      </c>
      <c r="H368" s="48">
        <v>0</v>
      </c>
      <c r="I368" s="48">
        <v>0</v>
      </c>
      <c r="J368" s="48">
        <v>-0.01</v>
      </c>
      <c r="K368" s="7" t="s">
        <v>620</v>
      </c>
      <c r="L368" s="7" t="s">
        <v>103</v>
      </c>
      <c r="M368" s="7" t="s">
        <v>619</v>
      </c>
      <c r="N368" s="7" t="s">
        <v>117</v>
      </c>
    </row>
    <row r="369" spans="1:14" x14ac:dyDescent="0.25">
      <c r="A369" s="7" t="s">
        <v>692</v>
      </c>
      <c r="B369" s="7" t="s">
        <v>692</v>
      </c>
      <c r="C369" s="7" t="s">
        <v>617</v>
      </c>
      <c r="D369" s="7" t="s">
        <v>153</v>
      </c>
      <c r="E369" s="7" t="s">
        <v>618</v>
      </c>
      <c r="F369" s="48">
        <v>0</v>
      </c>
      <c r="G369" s="48">
        <v>0</v>
      </c>
      <c r="H369" s="48">
        <v>0</v>
      </c>
      <c r="I369" s="48">
        <v>0</v>
      </c>
      <c r="J369" s="48">
        <v>0.01</v>
      </c>
      <c r="K369" s="7" t="s">
        <v>104</v>
      </c>
      <c r="L369" s="7" t="s">
        <v>103</v>
      </c>
      <c r="M369" s="7" t="s">
        <v>619</v>
      </c>
      <c r="N369" s="7" t="s">
        <v>117</v>
      </c>
    </row>
    <row r="370" spans="1:14" x14ac:dyDescent="0.25">
      <c r="A370" s="7" t="s">
        <v>692</v>
      </c>
      <c r="B370" s="7" t="s">
        <v>692</v>
      </c>
      <c r="C370" s="7" t="s">
        <v>617</v>
      </c>
      <c r="D370" s="7" t="s">
        <v>153</v>
      </c>
      <c r="E370" s="7" t="s">
        <v>618</v>
      </c>
      <c r="F370" s="48">
        <v>0</v>
      </c>
      <c r="G370" s="48">
        <v>0</v>
      </c>
      <c r="H370" s="48">
        <v>0</v>
      </c>
      <c r="I370" s="48">
        <v>0</v>
      </c>
      <c r="J370" s="48">
        <v>-0.01</v>
      </c>
      <c r="K370" s="7" t="s">
        <v>620</v>
      </c>
      <c r="L370" s="7" t="s">
        <v>103</v>
      </c>
      <c r="M370" s="7" t="s">
        <v>619</v>
      </c>
      <c r="N370" s="7" t="s">
        <v>117</v>
      </c>
    </row>
    <row r="371" spans="1:14" x14ac:dyDescent="0.25">
      <c r="A371" s="7" t="s">
        <v>693</v>
      </c>
      <c r="B371" s="7" t="s">
        <v>693</v>
      </c>
      <c r="C371" s="7" t="s">
        <v>617</v>
      </c>
      <c r="D371" s="7" t="s">
        <v>153</v>
      </c>
      <c r="E371" s="7" t="s">
        <v>657</v>
      </c>
      <c r="F371" s="48">
        <v>0</v>
      </c>
      <c r="G371" s="48">
        <v>0</v>
      </c>
      <c r="H371" s="48">
        <v>0</v>
      </c>
      <c r="I371" s="48">
        <v>0</v>
      </c>
      <c r="J371" s="48">
        <v>-309.33999999999997</v>
      </c>
      <c r="K371" s="7" t="s">
        <v>104</v>
      </c>
      <c r="L371" s="7" t="s">
        <v>103</v>
      </c>
      <c r="M371" s="7" t="s">
        <v>619</v>
      </c>
      <c r="N371" s="7" t="s">
        <v>117</v>
      </c>
    </row>
    <row r="372" spans="1:14" x14ac:dyDescent="0.25">
      <c r="A372" s="7" t="s">
        <v>693</v>
      </c>
      <c r="B372" s="7" t="s">
        <v>693</v>
      </c>
      <c r="C372" s="7" t="s">
        <v>617</v>
      </c>
      <c r="D372" s="7" t="s">
        <v>153</v>
      </c>
      <c r="E372" s="7" t="s">
        <v>657</v>
      </c>
      <c r="F372" s="48">
        <v>0</v>
      </c>
      <c r="G372" s="48">
        <v>0</v>
      </c>
      <c r="H372" s="48">
        <v>0</v>
      </c>
      <c r="I372" s="48">
        <v>0</v>
      </c>
      <c r="J372" s="48">
        <v>314.81</v>
      </c>
      <c r="K372" s="7" t="s">
        <v>620</v>
      </c>
      <c r="L372" s="7" t="s">
        <v>103</v>
      </c>
      <c r="M372" s="7" t="s">
        <v>619</v>
      </c>
      <c r="N372" s="7" t="s">
        <v>117</v>
      </c>
    </row>
    <row r="373" spans="1:14" x14ac:dyDescent="0.25">
      <c r="A373" s="7" t="s">
        <v>694</v>
      </c>
      <c r="B373" s="7" t="s">
        <v>694</v>
      </c>
      <c r="C373" s="7" t="s">
        <v>617</v>
      </c>
      <c r="D373" s="7" t="s">
        <v>153</v>
      </c>
      <c r="E373" s="7" t="s">
        <v>657</v>
      </c>
      <c r="F373" s="48">
        <v>0</v>
      </c>
      <c r="G373" s="48">
        <v>0</v>
      </c>
      <c r="H373" s="48">
        <v>0</v>
      </c>
      <c r="I373" s="48">
        <v>0</v>
      </c>
      <c r="J373" s="48">
        <v>-1.54</v>
      </c>
      <c r="K373" s="7" t="s">
        <v>104</v>
      </c>
      <c r="L373" s="7" t="s">
        <v>103</v>
      </c>
      <c r="M373" s="7" t="s">
        <v>619</v>
      </c>
      <c r="N373" s="7" t="s">
        <v>117</v>
      </c>
    </row>
    <row r="374" spans="1:14" x14ac:dyDescent="0.25">
      <c r="A374" s="7" t="s">
        <v>694</v>
      </c>
      <c r="B374" s="7" t="s">
        <v>694</v>
      </c>
      <c r="C374" s="7" t="s">
        <v>617</v>
      </c>
      <c r="D374" s="7" t="s">
        <v>153</v>
      </c>
      <c r="E374" s="7" t="s">
        <v>657</v>
      </c>
      <c r="F374" s="48">
        <v>0</v>
      </c>
      <c r="G374" s="48">
        <v>0</v>
      </c>
      <c r="H374" s="48">
        <v>0</v>
      </c>
      <c r="I374" s="48">
        <v>0</v>
      </c>
      <c r="J374" s="48">
        <v>1.56</v>
      </c>
      <c r="K374" s="7" t="s">
        <v>620</v>
      </c>
      <c r="L374" s="7" t="s">
        <v>103</v>
      </c>
      <c r="M374" s="7" t="s">
        <v>619</v>
      </c>
      <c r="N374" s="7" t="s">
        <v>117</v>
      </c>
    </row>
    <row r="375" spans="1:14" x14ac:dyDescent="0.25">
      <c r="A375" s="7" t="s">
        <v>695</v>
      </c>
      <c r="B375" s="7" t="s">
        <v>695</v>
      </c>
      <c r="C375" s="7" t="s">
        <v>696</v>
      </c>
      <c r="D375" s="7" t="s">
        <v>153</v>
      </c>
      <c r="E375" s="7" t="s">
        <v>697</v>
      </c>
      <c r="F375" s="48">
        <v>0</v>
      </c>
      <c r="G375" s="48">
        <v>0</v>
      </c>
      <c r="H375" s="48">
        <v>0</v>
      </c>
      <c r="I375" s="48">
        <v>0</v>
      </c>
      <c r="J375" s="48">
        <v>5.1100000000000003</v>
      </c>
      <c r="K375" s="7" t="s">
        <v>620</v>
      </c>
      <c r="L375" s="7" t="s">
        <v>103</v>
      </c>
      <c r="M375" s="7" t="s">
        <v>498</v>
      </c>
      <c r="N375" s="7" t="s">
        <v>117</v>
      </c>
    </row>
    <row r="376" spans="1:14" x14ac:dyDescent="0.25">
      <c r="A376" s="7" t="s">
        <v>698</v>
      </c>
      <c r="B376" s="7" t="s">
        <v>698</v>
      </c>
      <c r="C376" s="7" t="s">
        <v>617</v>
      </c>
      <c r="D376" s="7" t="s">
        <v>153</v>
      </c>
      <c r="E376" s="7" t="s">
        <v>618</v>
      </c>
      <c r="F376" s="48">
        <v>0</v>
      </c>
      <c r="G376" s="48">
        <v>0</v>
      </c>
      <c r="H376" s="48">
        <v>0</v>
      </c>
      <c r="I376" s="48">
        <v>0</v>
      </c>
      <c r="J376" s="48">
        <v>574.95000000000005</v>
      </c>
      <c r="K376" s="7" t="s">
        <v>104</v>
      </c>
      <c r="L376" s="7" t="s">
        <v>103</v>
      </c>
      <c r="M376" s="7" t="s">
        <v>619</v>
      </c>
      <c r="N376" s="7" t="s">
        <v>117</v>
      </c>
    </row>
    <row r="377" spans="1:14" x14ac:dyDescent="0.25">
      <c r="A377" s="7" t="s">
        <v>698</v>
      </c>
      <c r="B377" s="7" t="s">
        <v>698</v>
      </c>
      <c r="C377" s="7" t="s">
        <v>617</v>
      </c>
      <c r="D377" s="7" t="s">
        <v>153</v>
      </c>
      <c r="E377" s="7" t="s">
        <v>618</v>
      </c>
      <c r="F377" s="48">
        <v>0</v>
      </c>
      <c r="G377" s="48">
        <v>0</v>
      </c>
      <c r="H377" s="48">
        <v>0</v>
      </c>
      <c r="I377" s="48">
        <v>0</v>
      </c>
      <c r="J377" s="48">
        <v>-604.44000000000005</v>
      </c>
      <c r="K377" s="7" t="s">
        <v>620</v>
      </c>
      <c r="L377" s="7" t="s">
        <v>103</v>
      </c>
      <c r="M377" s="7" t="s">
        <v>619</v>
      </c>
      <c r="N377" s="7" t="s">
        <v>117</v>
      </c>
    </row>
    <row r="378" spans="1:14" x14ac:dyDescent="0.25">
      <c r="A378" s="7" t="s">
        <v>699</v>
      </c>
      <c r="B378" s="7" t="s">
        <v>699</v>
      </c>
      <c r="C378" s="7" t="s">
        <v>696</v>
      </c>
      <c r="D378" s="7" t="s">
        <v>153</v>
      </c>
      <c r="E378" s="7" t="s">
        <v>697</v>
      </c>
      <c r="F378" s="48">
        <v>0</v>
      </c>
      <c r="G378" s="48">
        <v>0</v>
      </c>
      <c r="H378" s="48">
        <v>0</v>
      </c>
      <c r="I378" s="48">
        <v>0</v>
      </c>
      <c r="J378" s="48">
        <v>5.19</v>
      </c>
      <c r="K378" s="7" t="s">
        <v>620</v>
      </c>
      <c r="L378" s="7" t="s">
        <v>103</v>
      </c>
      <c r="M378" s="7" t="s">
        <v>498</v>
      </c>
      <c r="N378" s="7" t="s">
        <v>117</v>
      </c>
    </row>
    <row r="379" spans="1:14" x14ac:dyDescent="0.25">
      <c r="A379" s="7" t="s">
        <v>700</v>
      </c>
      <c r="B379" s="7" t="s">
        <v>700</v>
      </c>
      <c r="C379" s="7" t="s">
        <v>617</v>
      </c>
      <c r="D379" s="7" t="s">
        <v>153</v>
      </c>
      <c r="E379" s="7" t="s">
        <v>618</v>
      </c>
      <c r="F379" s="48">
        <v>0</v>
      </c>
      <c r="G379" s="48">
        <v>0</v>
      </c>
      <c r="H379" s="48">
        <v>0</v>
      </c>
      <c r="I379" s="48">
        <v>0</v>
      </c>
      <c r="J379" s="48">
        <v>517.70000000000005</v>
      </c>
      <c r="K379" s="7" t="s">
        <v>104</v>
      </c>
      <c r="L379" s="7" t="s">
        <v>103</v>
      </c>
      <c r="M379" s="7" t="s">
        <v>619</v>
      </c>
      <c r="N379" s="7" t="s">
        <v>117</v>
      </c>
    </row>
    <row r="380" spans="1:14" x14ac:dyDescent="0.25">
      <c r="A380" s="7" t="s">
        <v>700</v>
      </c>
      <c r="B380" s="7" t="s">
        <v>700</v>
      </c>
      <c r="C380" s="7" t="s">
        <v>617</v>
      </c>
      <c r="D380" s="7" t="s">
        <v>153</v>
      </c>
      <c r="E380" s="7" t="s">
        <v>618</v>
      </c>
      <c r="F380" s="48">
        <v>0</v>
      </c>
      <c r="G380" s="48">
        <v>0</v>
      </c>
      <c r="H380" s="48">
        <v>0</v>
      </c>
      <c r="I380" s="48">
        <v>0</v>
      </c>
      <c r="J380" s="48">
        <v>-553.16</v>
      </c>
      <c r="K380" s="7" t="s">
        <v>620</v>
      </c>
      <c r="L380" s="7" t="s">
        <v>103</v>
      </c>
      <c r="M380" s="7" t="s">
        <v>619</v>
      </c>
      <c r="N380" s="7" t="s">
        <v>117</v>
      </c>
    </row>
    <row r="381" spans="1:14" x14ac:dyDescent="0.25">
      <c r="A381" s="7" t="s">
        <v>701</v>
      </c>
      <c r="B381" s="7" t="s">
        <v>701</v>
      </c>
      <c r="C381" s="7" t="s">
        <v>696</v>
      </c>
      <c r="D381" s="7" t="s">
        <v>153</v>
      </c>
      <c r="E381" s="7" t="s">
        <v>697</v>
      </c>
      <c r="F381" s="48">
        <v>0</v>
      </c>
      <c r="G381" s="48">
        <v>0</v>
      </c>
      <c r="H381" s="48">
        <v>0</v>
      </c>
      <c r="I381" s="48">
        <v>0</v>
      </c>
      <c r="J381" s="48">
        <v>5.18</v>
      </c>
      <c r="K381" s="7" t="s">
        <v>620</v>
      </c>
      <c r="L381" s="7" t="s">
        <v>103</v>
      </c>
      <c r="M381" s="7" t="s">
        <v>498</v>
      </c>
      <c r="N381" s="7" t="s">
        <v>117</v>
      </c>
    </row>
    <row r="382" spans="1:14" x14ac:dyDescent="0.25">
      <c r="A382" s="7" t="s">
        <v>702</v>
      </c>
      <c r="B382" s="7" t="s">
        <v>702</v>
      </c>
      <c r="C382" s="7" t="s">
        <v>617</v>
      </c>
      <c r="D382" s="7" t="s">
        <v>153</v>
      </c>
      <c r="E382" s="7" t="s">
        <v>618</v>
      </c>
      <c r="F382" s="48">
        <v>0</v>
      </c>
      <c r="G382" s="48">
        <v>0</v>
      </c>
      <c r="H382" s="48">
        <v>0</v>
      </c>
      <c r="I382" s="48">
        <v>0</v>
      </c>
      <c r="J382" s="48">
        <v>240.85</v>
      </c>
      <c r="K382" s="7" t="s">
        <v>104</v>
      </c>
      <c r="L382" s="7" t="s">
        <v>103</v>
      </c>
      <c r="M382" s="7" t="s">
        <v>619</v>
      </c>
      <c r="N382" s="7" t="s">
        <v>117</v>
      </c>
    </row>
    <row r="383" spans="1:14" x14ac:dyDescent="0.25">
      <c r="A383" s="7" t="s">
        <v>702</v>
      </c>
      <c r="B383" s="7" t="s">
        <v>702</v>
      </c>
      <c r="C383" s="7" t="s">
        <v>617</v>
      </c>
      <c r="D383" s="7" t="s">
        <v>153</v>
      </c>
      <c r="E383" s="7" t="s">
        <v>618</v>
      </c>
      <c r="F383" s="48">
        <v>0</v>
      </c>
      <c r="G383" s="48">
        <v>0</v>
      </c>
      <c r="H383" s="48">
        <v>0</v>
      </c>
      <c r="I383" s="48">
        <v>0</v>
      </c>
      <c r="J383" s="48">
        <v>-256.83999999999997</v>
      </c>
      <c r="K383" s="7" t="s">
        <v>620</v>
      </c>
      <c r="L383" s="7" t="s">
        <v>103</v>
      </c>
      <c r="M383" s="7" t="s">
        <v>619</v>
      </c>
      <c r="N383" s="7" t="s">
        <v>117</v>
      </c>
    </row>
    <row r="384" spans="1:14" x14ac:dyDescent="0.25">
      <c r="A384" s="7" t="s">
        <v>703</v>
      </c>
      <c r="B384" s="7" t="s">
        <v>703</v>
      </c>
      <c r="C384" s="7" t="s">
        <v>617</v>
      </c>
      <c r="D384" s="7" t="s">
        <v>153</v>
      </c>
      <c r="E384" s="7" t="s">
        <v>618</v>
      </c>
      <c r="F384" s="48">
        <v>0</v>
      </c>
      <c r="G384" s="48">
        <v>0</v>
      </c>
      <c r="H384" s="48">
        <v>0</v>
      </c>
      <c r="I384" s="48">
        <v>0</v>
      </c>
      <c r="J384" s="48">
        <v>0.01</v>
      </c>
      <c r="K384" s="7" t="s">
        <v>104</v>
      </c>
      <c r="L384" s="7" t="s">
        <v>478</v>
      </c>
      <c r="M384" s="7" t="s">
        <v>619</v>
      </c>
      <c r="N384" s="7" t="s">
        <v>117</v>
      </c>
    </row>
    <row r="385" spans="1:14" x14ac:dyDescent="0.25">
      <c r="A385" s="7" t="s">
        <v>703</v>
      </c>
      <c r="B385" s="7" t="s">
        <v>703</v>
      </c>
      <c r="C385" s="7" t="s">
        <v>617</v>
      </c>
      <c r="D385" s="7" t="s">
        <v>153</v>
      </c>
      <c r="E385" s="7" t="s">
        <v>618</v>
      </c>
      <c r="F385" s="48">
        <v>0</v>
      </c>
      <c r="G385" s="48">
        <v>0</v>
      </c>
      <c r="H385" s="48">
        <v>0</v>
      </c>
      <c r="I385" s="48">
        <v>0</v>
      </c>
      <c r="J385" s="48">
        <v>-0.01</v>
      </c>
      <c r="K385" s="7" t="s">
        <v>620</v>
      </c>
      <c r="L385" s="7" t="s">
        <v>478</v>
      </c>
      <c r="M385" s="7" t="s">
        <v>619</v>
      </c>
      <c r="N385" s="7" t="s">
        <v>117</v>
      </c>
    </row>
    <row r="386" spans="1:14" x14ac:dyDescent="0.25">
      <c r="A386" s="7" t="s">
        <v>704</v>
      </c>
      <c r="B386" s="7" t="s">
        <v>704</v>
      </c>
      <c r="C386" s="7" t="s">
        <v>617</v>
      </c>
      <c r="D386" s="7" t="s">
        <v>153</v>
      </c>
      <c r="E386" s="7" t="s">
        <v>657</v>
      </c>
      <c r="F386" s="48">
        <v>0</v>
      </c>
      <c r="G386" s="48">
        <v>0</v>
      </c>
      <c r="H386" s="48">
        <v>0</v>
      </c>
      <c r="I386" s="48">
        <v>0</v>
      </c>
      <c r="J386" s="48">
        <v>-96.05</v>
      </c>
      <c r="K386" s="7" t="s">
        <v>104</v>
      </c>
      <c r="L386" s="7" t="s">
        <v>478</v>
      </c>
      <c r="M386" s="7" t="s">
        <v>619</v>
      </c>
      <c r="N386" s="7" t="s">
        <v>117</v>
      </c>
    </row>
    <row r="387" spans="1:14" x14ac:dyDescent="0.25">
      <c r="A387" s="7" t="s">
        <v>704</v>
      </c>
      <c r="B387" s="7" t="s">
        <v>704</v>
      </c>
      <c r="C387" s="7" t="s">
        <v>617</v>
      </c>
      <c r="D387" s="7" t="s">
        <v>153</v>
      </c>
      <c r="E387" s="7" t="s">
        <v>657</v>
      </c>
      <c r="F387" s="48">
        <v>0</v>
      </c>
      <c r="G387" s="48">
        <v>0</v>
      </c>
      <c r="H387" s="48">
        <v>0</v>
      </c>
      <c r="I387" s="48">
        <v>0</v>
      </c>
      <c r="J387" s="48">
        <v>94.79</v>
      </c>
      <c r="K387" s="7" t="s">
        <v>620</v>
      </c>
      <c r="L387" s="7" t="s">
        <v>478</v>
      </c>
      <c r="M387" s="7" t="s">
        <v>619</v>
      </c>
      <c r="N387" s="7" t="s">
        <v>117</v>
      </c>
    </row>
    <row r="388" spans="1:14" x14ac:dyDescent="0.25">
      <c r="A388" s="7" t="s">
        <v>705</v>
      </c>
      <c r="B388" s="7" t="s">
        <v>705</v>
      </c>
      <c r="C388" s="7" t="s">
        <v>617</v>
      </c>
      <c r="D388" s="7" t="s">
        <v>153</v>
      </c>
      <c r="E388" s="7" t="s">
        <v>657</v>
      </c>
      <c r="F388" s="48">
        <v>0</v>
      </c>
      <c r="G388" s="48">
        <v>0</v>
      </c>
      <c r="H388" s="48">
        <v>0</v>
      </c>
      <c r="I388" s="48">
        <v>0</v>
      </c>
      <c r="J388" s="48">
        <v>-3.5</v>
      </c>
      <c r="K388" s="7" t="s">
        <v>104</v>
      </c>
      <c r="L388" s="7" t="s">
        <v>478</v>
      </c>
      <c r="M388" s="7" t="s">
        <v>619</v>
      </c>
      <c r="N388" s="7" t="s">
        <v>117</v>
      </c>
    </row>
    <row r="389" spans="1:14" x14ac:dyDescent="0.25">
      <c r="A389" s="7" t="s">
        <v>705</v>
      </c>
      <c r="B389" s="7" t="s">
        <v>705</v>
      </c>
      <c r="C389" s="7" t="s">
        <v>617</v>
      </c>
      <c r="D389" s="7" t="s">
        <v>153</v>
      </c>
      <c r="E389" s="7" t="s">
        <v>657</v>
      </c>
      <c r="F389" s="48">
        <v>0</v>
      </c>
      <c r="G389" s="48">
        <v>0</v>
      </c>
      <c r="H389" s="48">
        <v>0</v>
      </c>
      <c r="I389" s="48">
        <v>0</v>
      </c>
      <c r="J389" s="48">
        <v>3.44</v>
      </c>
      <c r="K389" s="7" t="s">
        <v>620</v>
      </c>
      <c r="L389" s="7" t="s">
        <v>478</v>
      </c>
      <c r="M389" s="7" t="s">
        <v>619</v>
      </c>
      <c r="N389" s="7" t="s">
        <v>117</v>
      </c>
    </row>
    <row r="390" spans="1:14" x14ac:dyDescent="0.25">
      <c r="A390" s="7" t="s">
        <v>706</v>
      </c>
      <c r="B390" s="7" t="s">
        <v>706</v>
      </c>
      <c r="C390" s="7" t="s">
        <v>617</v>
      </c>
      <c r="D390" s="7" t="s">
        <v>153</v>
      </c>
      <c r="E390" s="7" t="s">
        <v>657</v>
      </c>
      <c r="F390" s="48">
        <v>0</v>
      </c>
      <c r="G390" s="48">
        <v>0</v>
      </c>
      <c r="H390" s="48">
        <v>0</v>
      </c>
      <c r="I390" s="48">
        <v>0</v>
      </c>
      <c r="J390" s="48">
        <v>-0.01</v>
      </c>
      <c r="K390" s="7" t="s">
        <v>104</v>
      </c>
      <c r="L390" s="7" t="s">
        <v>478</v>
      </c>
      <c r="M390" s="7" t="s">
        <v>619</v>
      </c>
      <c r="N390" s="7" t="s">
        <v>117</v>
      </c>
    </row>
    <row r="391" spans="1:14" x14ac:dyDescent="0.25">
      <c r="A391" s="7" t="s">
        <v>706</v>
      </c>
      <c r="B391" s="7" t="s">
        <v>706</v>
      </c>
      <c r="C391" s="7" t="s">
        <v>617</v>
      </c>
      <c r="D391" s="7" t="s">
        <v>153</v>
      </c>
      <c r="E391" s="7" t="s">
        <v>657</v>
      </c>
      <c r="F391" s="48">
        <v>0</v>
      </c>
      <c r="G391" s="48">
        <v>0</v>
      </c>
      <c r="H391" s="48">
        <v>0</v>
      </c>
      <c r="I391" s="48">
        <v>0</v>
      </c>
      <c r="J391" s="48">
        <v>0</v>
      </c>
      <c r="K391" s="7" t="s">
        <v>620</v>
      </c>
      <c r="L391" s="7" t="s">
        <v>478</v>
      </c>
      <c r="M391" s="7" t="s">
        <v>619</v>
      </c>
      <c r="N391" s="7" t="s">
        <v>117</v>
      </c>
    </row>
    <row r="392" spans="1:14" x14ac:dyDescent="0.25">
      <c r="A392" s="7" t="s">
        <v>707</v>
      </c>
      <c r="B392" s="7" t="s">
        <v>707</v>
      </c>
      <c r="C392" s="7" t="s">
        <v>617</v>
      </c>
      <c r="D392" s="7" t="s">
        <v>153</v>
      </c>
      <c r="E392" s="7" t="s">
        <v>618</v>
      </c>
      <c r="F392" s="48">
        <v>0</v>
      </c>
      <c r="G392" s="48">
        <v>0</v>
      </c>
      <c r="H392" s="48">
        <v>0</v>
      </c>
      <c r="I392" s="48">
        <v>0</v>
      </c>
      <c r="J392" s="48">
        <v>0.01</v>
      </c>
      <c r="K392" s="7" t="s">
        <v>104</v>
      </c>
      <c r="L392" s="7" t="s">
        <v>478</v>
      </c>
      <c r="M392" s="7" t="s">
        <v>619</v>
      </c>
      <c r="N392" s="7" t="s">
        <v>117</v>
      </c>
    </row>
    <row r="393" spans="1:14" x14ac:dyDescent="0.25">
      <c r="A393" s="7" t="s">
        <v>707</v>
      </c>
      <c r="B393" s="7" t="s">
        <v>707</v>
      </c>
      <c r="C393" s="7" t="s">
        <v>617</v>
      </c>
      <c r="D393" s="7" t="s">
        <v>153</v>
      </c>
      <c r="E393" s="7" t="s">
        <v>618</v>
      </c>
      <c r="F393" s="48">
        <v>0</v>
      </c>
      <c r="G393" s="48">
        <v>0</v>
      </c>
      <c r="H393" s="48">
        <v>0</v>
      </c>
      <c r="I393" s="48">
        <v>0</v>
      </c>
      <c r="J393" s="48">
        <v>-0.01</v>
      </c>
      <c r="K393" s="7" t="s">
        <v>620</v>
      </c>
      <c r="L393" s="7" t="s">
        <v>478</v>
      </c>
      <c r="M393" s="7" t="s">
        <v>619</v>
      </c>
      <c r="N393" s="7" t="s">
        <v>117</v>
      </c>
    </row>
    <row r="394" spans="1:14" x14ac:dyDescent="0.25">
      <c r="A394" s="7" t="s">
        <v>708</v>
      </c>
      <c r="B394" s="7" t="s">
        <v>708</v>
      </c>
      <c r="C394" s="7" t="s">
        <v>617</v>
      </c>
      <c r="D394" s="7" t="s">
        <v>153</v>
      </c>
      <c r="E394" s="7" t="s">
        <v>618</v>
      </c>
      <c r="F394" s="48">
        <v>0</v>
      </c>
      <c r="G394" s="48">
        <v>0</v>
      </c>
      <c r="H394" s="48">
        <v>0</v>
      </c>
      <c r="I394" s="48">
        <v>0</v>
      </c>
      <c r="J394" s="48">
        <v>0.01</v>
      </c>
      <c r="K394" s="7" t="s">
        <v>104</v>
      </c>
      <c r="L394" s="7" t="s">
        <v>478</v>
      </c>
      <c r="M394" s="7" t="s">
        <v>619</v>
      </c>
      <c r="N394" s="7" t="s">
        <v>117</v>
      </c>
    </row>
    <row r="395" spans="1:14" x14ac:dyDescent="0.25">
      <c r="A395" s="7" t="s">
        <v>708</v>
      </c>
      <c r="B395" s="7" t="s">
        <v>708</v>
      </c>
      <c r="C395" s="7" t="s">
        <v>617</v>
      </c>
      <c r="D395" s="7" t="s">
        <v>153</v>
      </c>
      <c r="E395" s="7" t="s">
        <v>618</v>
      </c>
      <c r="F395" s="48">
        <v>0</v>
      </c>
      <c r="G395" s="48">
        <v>0</v>
      </c>
      <c r="H395" s="48">
        <v>0</v>
      </c>
      <c r="I395" s="48">
        <v>0</v>
      </c>
      <c r="J395" s="48">
        <v>-0.01</v>
      </c>
      <c r="K395" s="7" t="s">
        <v>620</v>
      </c>
      <c r="L395" s="7" t="s">
        <v>478</v>
      </c>
      <c r="M395" s="7" t="s">
        <v>619</v>
      </c>
      <c r="N395" s="7" t="s">
        <v>117</v>
      </c>
    </row>
    <row r="396" spans="1:14" x14ac:dyDescent="0.25">
      <c r="A396" s="7" t="s">
        <v>709</v>
      </c>
      <c r="B396" s="7" t="s">
        <v>709</v>
      </c>
      <c r="C396" s="7" t="s">
        <v>617</v>
      </c>
      <c r="D396" s="7" t="s">
        <v>153</v>
      </c>
      <c r="E396" s="7" t="s">
        <v>657</v>
      </c>
      <c r="F396" s="48">
        <v>0</v>
      </c>
      <c r="G396" s="48">
        <v>0</v>
      </c>
      <c r="H396" s="48">
        <v>0</v>
      </c>
      <c r="I396" s="48">
        <v>0</v>
      </c>
      <c r="J396" s="48">
        <v>-1140.23</v>
      </c>
      <c r="K396" s="7" t="s">
        <v>104</v>
      </c>
      <c r="L396" s="7" t="s">
        <v>478</v>
      </c>
      <c r="M396" s="7" t="s">
        <v>619</v>
      </c>
      <c r="N396" s="7" t="s">
        <v>117</v>
      </c>
    </row>
    <row r="397" spans="1:14" x14ac:dyDescent="0.25">
      <c r="A397" s="7" t="s">
        <v>709</v>
      </c>
      <c r="B397" s="7" t="s">
        <v>709</v>
      </c>
      <c r="C397" s="7" t="s">
        <v>617</v>
      </c>
      <c r="D397" s="7" t="s">
        <v>153</v>
      </c>
      <c r="E397" s="7" t="s">
        <v>657</v>
      </c>
      <c r="F397" s="48">
        <v>0</v>
      </c>
      <c r="G397" s="48">
        <v>0</v>
      </c>
      <c r="H397" s="48">
        <v>0</v>
      </c>
      <c r="I397" s="48">
        <v>0</v>
      </c>
      <c r="J397" s="48">
        <v>1126.77</v>
      </c>
      <c r="K397" s="7" t="s">
        <v>620</v>
      </c>
      <c r="L397" s="7" t="s">
        <v>478</v>
      </c>
      <c r="M397" s="7" t="s">
        <v>619</v>
      </c>
      <c r="N397" s="7" t="s">
        <v>117</v>
      </c>
    </row>
    <row r="398" spans="1:14" x14ac:dyDescent="0.25">
      <c r="A398" s="7" t="s">
        <v>710</v>
      </c>
      <c r="B398" s="7" t="s">
        <v>710</v>
      </c>
      <c r="C398" s="7" t="s">
        <v>617</v>
      </c>
      <c r="D398" s="7" t="s">
        <v>153</v>
      </c>
      <c r="E398" s="7" t="s">
        <v>657</v>
      </c>
      <c r="F398" s="48">
        <v>0</v>
      </c>
      <c r="G398" s="48">
        <v>0</v>
      </c>
      <c r="H398" s="48">
        <v>0</v>
      </c>
      <c r="I398" s="48">
        <v>0</v>
      </c>
      <c r="J398" s="48">
        <v>-880.03</v>
      </c>
      <c r="K398" s="7" t="s">
        <v>104</v>
      </c>
      <c r="L398" s="7" t="s">
        <v>478</v>
      </c>
      <c r="M398" s="7" t="s">
        <v>619</v>
      </c>
      <c r="N398" s="7" t="s">
        <v>117</v>
      </c>
    </row>
    <row r="399" spans="1:14" x14ac:dyDescent="0.25">
      <c r="A399" s="7" t="s">
        <v>710</v>
      </c>
      <c r="B399" s="7" t="s">
        <v>710</v>
      </c>
      <c r="C399" s="7" t="s">
        <v>617</v>
      </c>
      <c r="D399" s="7" t="s">
        <v>153</v>
      </c>
      <c r="E399" s="7" t="s">
        <v>657</v>
      </c>
      <c r="F399" s="48">
        <v>0</v>
      </c>
      <c r="G399" s="48">
        <v>0</v>
      </c>
      <c r="H399" s="48">
        <v>0</v>
      </c>
      <c r="I399" s="48">
        <v>0</v>
      </c>
      <c r="J399" s="48">
        <v>883.28</v>
      </c>
      <c r="K399" s="7" t="s">
        <v>620</v>
      </c>
      <c r="L399" s="7" t="s">
        <v>478</v>
      </c>
      <c r="M399" s="7" t="s">
        <v>619</v>
      </c>
      <c r="N399" s="7" t="s">
        <v>117</v>
      </c>
    </row>
    <row r="400" spans="1:14" x14ac:dyDescent="0.25">
      <c r="A400" s="7" t="s">
        <v>711</v>
      </c>
      <c r="B400" s="7" t="s">
        <v>711</v>
      </c>
      <c r="C400" s="7" t="s">
        <v>617</v>
      </c>
      <c r="D400" s="7" t="s">
        <v>153</v>
      </c>
      <c r="E400" s="7" t="s">
        <v>657</v>
      </c>
      <c r="F400" s="48">
        <v>0</v>
      </c>
      <c r="G400" s="48">
        <v>0</v>
      </c>
      <c r="H400" s="48">
        <v>0</v>
      </c>
      <c r="I400" s="48">
        <v>0</v>
      </c>
      <c r="J400" s="48">
        <v>-0.88</v>
      </c>
      <c r="K400" s="7" t="s">
        <v>104</v>
      </c>
      <c r="L400" s="7" t="s">
        <v>478</v>
      </c>
      <c r="M400" s="7" t="s">
        <v>619</v>
      </c>
      <c r="N400" s="7" t="s">
        <v>117</v>
      </c>
    </row>
    <row r="401" spans="1:14" x14ac:dyDescent="0.25">
      <c r="A401" s="7" t="s">
        <v>711</v>
      </c>
      <c r="B401" s="7" t="s">
        <v>711</v>
      </c>
      <c r="C401" s="7" t="s">
        <v>617</v>
      </c>
      <c r="D401" s="7" t="s">
        <v>153</v>
      </c>
      <c r="E401" s="7" t="s">
        <v>657</v>
      </c>
      <c r="F401" s="48">
        <v>0</v>
      </c>
      <c r="G401" s="48">
        <v>0</v>
      </c>
      <c r="H401" s="48">
        <v>0</v>
      </c>
      <c r="I401" s="48">
        <v>0</v>
      </c>
      <c r="J401" s="48">
        <v>0.88</v>
      </c>
      <c r="K401" s="7" t="s">
        <v>620</v>
      </c>
      <c r="L401" s="7" t="s">
        <v>478</v>
      </c>
      <c r="M401" s="7" t="s">
        <v>619</v>
      </c>
      <c r="N401" s="7" t="s">
        <v>117</v>
      </c>
    </row>
    <row r="402" spans="1:14" x14ac:dyDescent="0.25">
      <c r="A402" s="7" t="s">
        <v>712</v>
      </c>
      <c r="B402" s="7" t="s">
        <v>712</v>
      </c>
      <c r="C402" s="7" t="s">
        <v>617</v>
      </c>
      <c r="D402" s="7" t="s">
        <v>153</v>
      </c>
      <c r="E402" s="7" t="s">
        <v>657</v>
      </c>
      <c r="F402" s="48">
        <v>0</v>
      </c>
      <c r="G402" s="48">
        <v>0</v>
      </c>
      <c r="H402" s="48">
        <v>0</v>
      </c>
      <c r="I402" s="48">
        <v>0</v>
      </c>
      <c r="J402" s="48">
        <v>-3.5</v>
      </c>
      <c r="K402" s="7" t="s">
        <v>104</v>
      </c>
      <c r="L402" s="7" t="s">
        <v>478</v>
      </c>
      <c r="M402" s="7" t="s">
        <v>619</v>
      </c>
      <c r="N402" s="7" t="s">
        <v>117</v>
      </c>
    </row>
    <row r="403" spans="1:14" x14ac:dyDescent="0.25">
      <c r="A403" s="7" t="s">
        <v>712</v>
      </c>
      <c r="B403" s="7" t="s">
        <v>712</v>
      </c>
      <c r="C403" s="7" t="s">
        <v>617</v>
      </c>
      <c r="D403" s="7" t="s">
        <v>153</v>
      </c>
      <c r="E403" s="7" t="s">
        <v>657</v>
      </c>
      <c r="F403" s="48">
        <v>0</v>
      </c>
      <c r="G403" s="48">
        <v>0</v>
      </c>
      <c r="H403" s="48">
        <v>0</v>
      </c>
      <c r="I403" s="48">
        <v>0</v>
      </c>
      <c r="J403" s="48">
        <v>3.56</v>
      </c>
      <c r="K403" s="7" t="s">
        <v>620</v>
      </c>
      <c r="L403" s="7" t="s">
        <v>478</v>
      </c>
      <c r="M403" s="7" t="s">
        <v>619</v>
      </c>
      <c r="N403" s="7" t="s">
        <v>117</v>
      </c>
    </row>
    <row r="404" spans="1:14" x14ac:dyDescent="0.25">
      <c r="A404" s="7" t="s">
        <v>713</v>
      </c>
      <c r="B404" s="7" t="s">
        <v>713</v>
      </c>
      <c r="C404" s="7" t="s">
        <v>617</v>
      </c>
      <c r="D404" s="7" t="s">
        <v>153</v>
      </c>
      <c r="E404" s="7" t="s">
        <v>657</v>
      </c>
      <c r="F404" s="48">
        <v>0</v>
      </c>
      <c r="G404" s="48">
        <v>0</v>
      </c>
      <c r="H404" s="48">
        <v>0</v>
      </c>
      <c r="I404" s="48">
        <v>0</v>
      </c>
      <c r="J404" s="48">
        <v>-639.03</v>
      </c>
      <c r="K404" s="7" t="s">
        <v>104</v>
      </c>
      <c r="L404" s="7" t="s">
        <v>478</v>
      </c>
      <c r="M404" s="7" t="s">
        <v>619</v>
      </c>
      <c r="N404" s="7" t="s">
        <v>117</v>
      </c>
    </row>
    <row r="405" spans="1:14" x14ac:dyDescent="0.25">
      <c r="A405" s="7" t="s">
        <v>713</v>
      </c>
      <c r="B405" s="7" t="s">
        <v>713</v>
      </c>
      <c r="C405" s="7" t="s">
        <v>617</v>
      </c>
      <c r="D405" s="7" t="s">
        <v>153</v>
      </c>
      <c r="E405" s="7" t="s">
        <v>657</v>
      </c>
      <c r="F405" s="48">
        <v>0</v>
      </c>
      <c r="G405" s="48">
        <v>0</v>
      </c>
      <c r="H405" s="48">
        <v>0</v>
      </c>
      <c r="I405" s="48">
        <v>0</v>
      </c>
      <c r="J405" s="48">
        <v>643.17999999999995</v>
      </c>
      <c r="K405" s="7" t="s">
        <v>620</v>
      </c>
      <c r="L405" s="7" t="s">
        <v>478</v>
      </c>
      <c r="M405" s="7" t="s">
        <v>619</v>
      </c>
      <c r="N405" s="7" t="s">
        <v>117</v>
      </c>
    </row>
    <row r="406" spans="1:14" x14ac:dyDescent="0.25">
      <c r="A406" s="7" t="s">
        <v>714</v>
      </c>
      <c r="B406" s="7" t="s">
        <v>714</v>
      </c>
      <c r="C406" s="7" t="s">
        <v>617</v>
      </c>
      <c r="D406" s="7" t="s">
        <v>153</v>
      </c>
      <c r="E406" s="7" t="s">
        <v>618</v>
      </c>
      <c r="F406" s="48">
        <v>0</v>
      </c>
      <c r="G406" s="48">
        <v>0</v>
      </c>
      <c r="H406" s="48">
        <v>0</v>
      </c>
      <c r="I406" s="48">
        <v>0</v>
      </c>
      <c r="J406" s="48">
        <v>673.7</v>
      </c>
      <c r="K406" s="7" t="s">
        <v>104</v>
      </c>
      <c r="L406" s="7" t="s">
        <v>478</v>
      </c>
      <c r="M406" s="7" t="s">
        <v>619</v>
      </c>
      <c r="N406" s="7" t="s">
        <v>117</v>
      </c>
    </row>
    <row r="407" spans="1:14" x14ac:dyDescent="0.25">
      <c r="A407" s="7" t="s">
        <v>714</v>
      </c>
      <c r="B407" s="7" t="s">
        <v>714</v>
      </c>
      <c r="C407" s="7" t="s">
        <v>617</v>
      </c>
      <c r="D407" s="7" t="s">
        <v>153</v>
      </c>
      <c r="E407" s="7" t="s">
        <v>618</v>
      </c>
      <c r="F407" s="48">
        <v>0</v>
      </c>
      <c r="G407" s="48">
        <v>0</v>
      </c>
      <c r="H407" s="48">
        <v>0</v>
      </c>
      <c r="I407" s="48">
        <v>0</v>
      </c>
      <c r="J407" s="48">
        <v>-705.09</v>
      </c>
      <c r="K407" s="7" t="s">
        <v>620</v>
      </c>
      <c r="L407" s="7" t="s">
        <v>478</v>
      </c>
      <c r="M407" s="7" t="s">
        <v>619</v>
      </c>
      <c r="N407" s="7" t="s">
        <v>117</v>
      </c>
    </row>
    <row r="408" spans="1:14" x14ac:dyDescent="0.25">
      <c r="A408" s="7" t="s">
        <v>715</v>
      </c>
      <c r="B408" s="7" t="s">
        <v>715</v>
      </c>
      <c r="C408" s="7" t="s">
        <v>617</v>
      </c>
      <c r="D408" s="7" t="s">
        <v>153</v>
      </c>
      <c r="E408" s="7" t="s">
        <v>618</v>
      </c>
      <c r="F408" s="48">
        <v>0</v>
      </c>
      <c r="G408" s="48">
        <v>0</v>
      </c>
      <c r="H408" s="48">
        <v>0</v>
      </c>
      <c r="I408" s="48">
        <v>0</v>
      </c>
      <c r="J408" s="48">
        <v>1006.65</v>
      </c>
      <c r="K408" s="7" t="s">
        <v>104</v>
      </c>
      <c r="L408" s="7" t="s">
        <v>478</v>
      </c>
      <c r="M408" s="7" t="s">
        <v>619</v>
      </c>
      <c r="N408" s="7" t="s">
        <v>117</v>
      </c>
    </row>
    <row r="409" spans="1:14" x14ac:dyDescent="0.25">
      <c r="A409" s="7" t="s">
        <v>715</v>
      </c>
      <c r="B409" s="7" t="s">
        <v>715</v>
      </c>
      <c r="C409" s="7" t="s">
        <v>617</v>
      </c>
      <c r="D409" s="7" t="s">
        <v>153</v>
      </c>
      <c r="E409" s="7" t="s">
        <v>618</v>
      </c>
      <c r="F409" s="48">
        <v>0</v>
      </c>
      <c r="G409" s="48">
        <v>0</v>
      </c>
      <c r="H409" s="48">
        <v>0</v>
      </c>
      <c r="I409" s="48">
        <v>0</v>
      </c>
      <c r="J409" s="48">
        <v>-1043.8900000000001</v>
      </c>
      <c r="K409" s="7" t="s">
        <v>620</v>
      </c>
      <c r="L409" s="7" t="s">
        <v>478</v>
      </c>
      <c r="M409" s="7" t="s">
        <v>619</v>
      </c>
      <c r="N409" s="7" t="s">
        <v>117</v>
      </c>
    </row>
    <row r="410" spans="1:14" x14ac:dyDescent="0.25">
      <c r="A410" s="7" t="s">
        <v>716</v>
      </c>
      <c r="B410" s="7" t="s">
        <v>716</v>
      </c>
      <c r="C410" s="7" t="s">
        <v>617</v>
      </c>
      <c r="D410" s="7" t="s">
        <v>153</v>
      </c>
      <c r="E410" s="7" t="s">
        <v>618</v>
      </c>
      <c r="F410" s="48">
        <v>0</v>
      </c>
      <c r="G410" s="48">
        <v>0</v>
      </c>
      <c r="H410" s="48">
        <v>0</v>
      </c>
      <c r="I410" s="48">
        <v>0</v>
      </c>
      <c r="J410" s="48">
        <v>728.47</v>
      </c>
      <c r="K410" s="7" t="s">
        <v>104</v>
      </c>
      <c r="L410" s="7" t="s">
        <v>478</v>
      </c>
      <c r="M410" s="7" t="s">
        <v>619</v>
      </c>
      <c r="N410" s="7" t="s">
        <v>117</v>
      </c>
    </row>
    <row r="411" spans="1:14" x14ac:dyDescent="0.25">
      <c r="A411" s="7" t="s">
        <v>716</v>
      </c>
      <c r="B411" s="7" t="s">
        <v>716</v>
      </c>
      <c r="C411" s="7" t="s">
        <v>617</v>
      </c>
      <c r="D411" s="7" t="s">
        <v>153</v>
      </c>
      <c r="E411" s="7" t="s">
        <v>618</v>
      </c>
      <c r="F411" s="48">
        <v>0</v>
      </c>
      <c r="G411" s="48">
        <v>0</v>
      </c>
      <c r="H411" s="48">
        <v>0</v>
      </c>
      <c r="I411" s="48">
        <v>0</v>
      </c>
      <c r="J411" s="48">
        <v>-747.33</v>
      </c>
      <c r="K411" s="7" t="s">
        <v>620</v>
      </c>
      <c r="L411" s="7" t="s">
        <v>478</v>
      </c>
      <c r="M411" s="7" t="s">
        <v>619</v>
      </c>
      <c r="N411" s="7" t="s">
        <v>117</v>
      </c>
    </row>
    <row r="412" spans="1:14" x14ac:dyDescent="0.25">
      <c r="A412" s="7" t="s">
        <v>717</v>
      </c>
      <c r="B412" s="7" t="s">
        <v>717</v>
      </c>
      <c r="C412" s="7" t="s">
        <v>617</v>
      </c>
      <c r="D412" s="7" t="s">
        <v>153</v>
      </c>
      <c r="E412" s="7" t="s">
        <v>657</v>
      </c>
      <c r="F412" s="48">
        <v>0</v>
      </c>
      <c r="G412" s="48">
        <v>0</v>
      </c>
      <c r="H412" s="48">
        <v>0</v>
      </c>
      <c r="I412" s="48">
        <v>0</v>
      </c>
      <c r="J412" s="48">
        <v>-645.03</v>
      </c>
      <c r="K412" s="7" t="s">
        <v>104</v>
      </c>
      <c r="L412" s="7" t="s">
        <v>478</v>
      </c>
      <c r="M412" s="7" t="s">
        <v>619</v>
      </c>
      <c r="N412" s="7" t="s">
        <v>117</v>
      </c>
    </row>
    <row r="413" spans="1:14" x14ac:dyDescent="0.25">
      <c r="A413" s="7" t="s">
        <v>717</v>
      </c>
      <c r="B413" s="7" t="s">
        <v>717</v>
      </c>
      <c r="C413" s="7" t="s">
        <v>617</v>
      </c>
      <c r="D413" s="7" t="s">
        <v>153</v>
      </c>
      <c r="E413" s="7" t="s">
        <v>657</v>
      </c>
      <c r="F413" s="48">
        <v>0</v>
      </c>
      <c r="G413" s="48">
        <v>0</v>
      </c>
      <c r="H413" s="48">
        <v>0</v>
      </c>
      <c r="I413" s="48">
        <v>0</v>
      </c>
      <c r="J413" s="48">
        <v>646.05999999999995</v>
      </c>
      <c r="K413" s="7" t="s">
        <v>620</v>
      </c>
      <c r="L413" s="7" t="s">
        <v>478</v>
      </c>
      <c r="M413" s="7" t="s">
        <v>619</v>
      </c>
      <c r="N413" s="7" t="s">
        <v>117</v>
      </c>
    </row>
    <row r="414" spans="1:14" x14ac:dyDescent="0.25">
      <c r="A414" s="7" t="s">
        <v>718</v>
      </c>
      <c r="B414" s="7" t="s">
        <v>718</v>
      </c>
      <c r="C414" s="7" t="s">
        <v>617</v>
      </c>
      <c r="D414" s="7" t="s">
        <v>153</v>
      </c>
      <c r="E414" s="7" t="s">
        <v>618</v>
      </c>
      <c r="F414" s="48">
        <v>0</v>
      </c>
      <c r="G414" s="48">
        <v>0</v>
      </c>
      <c r="H414" s="48">
        <v>0</v>
      </c>
      <c r="I414" s="48">
        <v>0</v>
      </c>
      <c r="J414" s="48">
        <v>596.54999999999995</v>
      </c>
      <c r="K414" s="7" t="s">
        <v>104</v>
      </c>
      <c r="L414" s="7" t="s">
        <v>478</v>
      </c>
      <c r="M414" s="7" t="s">
        <v>619</v>
      </c>
      <c r="N414" s="7" t="s">
        <v>117</v>
      </c>
    </row>
    <row r="415" spans="1:14" x14ac:dyDescent="0.25">
      <c r="A415" s="7" t="s">
        <v>718</v>
      </c>
      <c r="B415" s="7" t="s">
        <v>718</v>
      </c>
      <c r="C415" s="7" t="s">
        <v>617</v>
      </c>
      <c r="D415" s="7" t="s">
        <v>153</v>
      </c>
      <c r="E415" s="7" t="s">
        <v>618</v>
      </c>
      <c r="F415" s="48">
        <v>0</v>
      </c>
      <c r="G415" s="48">
        <v>0</v>
      </c>
      <c r="H415" s="48">
        <v>0</v>
      </c>
      <c r="I415" s="48">
        <v>0</v>
      </c>
      <c r="J415" s="48">
        <v>-610.03</v>
      </c>
      <c r="K415" s="7" t="s">
        <v>620</v>
      </c>
      <c r="L415" s="7" t="s">
        <v>478</v>
      </c>
      <c r="M415" s="7" t="s">
        <v>619</v>
      </c>
      <c r="N415" s="7" t="s">
        <v>117</v>
      </c>
    </row>
    <row r="416" spans="1:14" x14ac:dyDescent="0.25">
      <c r="A416" s="7" t="s">
        <v>719</v>
      </c>
      <c r="B416" s="7" t="s">
        <v>719</v>
      </c>
      <c r="C416" s="7" t="s">
        <v>617</v>
      </c>
      <c r="D416" s="7" t="s">
        <v>153</v>
      </c>
      <c r="E416" s="7" t="s">
        <v>657</v>
      </c>
      <c r="F416" s="48">
        <v>0</v>
      </c>
      <c r="G416" s="48">
        <v>0</v>
      </c>
      <c r="H416" s="48">
        <v>0</v>
      </c>
      <c r="I416" s="48">
        <v>0</v>
      </c>
      <c r="J416" s="48">
        <v>-1052.1199999999999</v>
      </c>
      <c r="K416" s="7" t="s">
        <v>104</v>
      </c>
      <c r="L416" s="7" t="s">
        <v>478</v>
      </c>
      <c r="M416" s="7" t="s">
        <v>619</v>
      </c>
      <c r="N416" s="7" t="s">
        <v>117</v>
      </c>
    </row>
    <row r="417" spans="1:14" x14ac:dyDescent="0.25">
      <c r="A417" s="7" t="s">
        <v>719</v>
      </c>
      <c r="B417" s="7" t="s">
        <v>719</v>
      </c>
      <c r="C417" s="7" t="s">
        <v>617</v>
      </c>
      <c r="D417" s="7" t="s">
        <v>153</v>
      </c>
      <c r="E417" s="7" t="s">
        <v>657</v>
      </c>
      <c r="F417" s="48">
        <v>0</v>
      </c>
      <c r="G417" s="48">
        <v>0</v>
      </c>
      <c r="H417" s="48">
        <v>0</v>
      </c>
      <c r="I417" s="48">
        <v>0</v>
      </c>
      <c r="J417" s="48">
        <v>1038.02</v>
      </c>
      <c r="K417" s="7" t="s">
        <v>620</v>
      </c>
      <c r="L417" s="7" t="s">
        <v>478</v>
      </c>
      <c r="M417" s="7" t="s">
        <v>619</v>
      </c>
      <c r="N417" s="7" t="s">
        <v>117</v>
      </c>
    </row>
    <row r="418" spans="1:14" x14ac:dyDescent="0.25">
      <c r="A418" s="7" t="s">
        <v>720</v>
      </c>
      <c r="B418" s="7" t="s">
        <v>720</v>
      </c>
      <c r="C418" s="7" t="s">
        <v>617</v>
      </c>
      <c r="D418" s="7" t="s">
        <v>153</v>
      </c>
      <c r="E418" s="7" t="s">
        <v>618</v>
      </c>
      <c r="F418" s="48">
        <v>0</v>
      </c>
      <c r="G418" s="48">
        <v>0</v>
      </c>
      <c r="H418" s="48">
        <v>0</v>
      </c>
      <c r="I418" s="48">
        <v>0</v>
      </c>
      <c r="J418" s="48">
        <v>50.04</v>
      </c>
      <c r="K418" s="7" t="s">
        <v>104</v>
      </c>
      <c r="L418" s="7" t="s">
        <v>478</v>
      </c>
      <c r="M418" s="7" t="s">
        <v>619</v>
      </c>
      <c r="N418" s="7" t="s">
        <v>117</v>
      </c>
    </row>
    <row r="419" spans="1:14" x14ac:dyDescent="0.25">
      <c r="A419" s="7" t="s">
        <v>720</v>
      </c>
      <c r="B419" s="7" t="s">
        <v>720</v>
      </c>
      <c r="C419" s="7" t="s">
        <v>617</v>
      </c>
      <c r="D419" s="7" t="s">
        <v>153</v>
      </c>
      <c r="E419" s="7" t="s">
        <v>618</v>
      </c>
      <c r="F419" s="48">
        <v>0</v>
      </c>
      <c r="G419" s="48">
        <v>0</v>
      </c>
      <c r="H419" s="48">
        <v>0</v>
      </c>
      <c r="I419" s="48">
        <v>0</v>
      </c>
      <c r="J419" s="48">
        <v>-51.06</v>
      </c>
      <c r="K419" s="7" t="s">
        <v>620</v>
      </c>
      <c r="L419" s="7" t="s">
        <v>478</v>
      </c>
      <c r="M419" s="7" t="s">
        <v>619</v>
      </c>
      <c r="N419" s="7" t="s">
        <v>117</v>
      </c>
    </row>
    <row r="420" spans="1:14" x14ac:dyDescent="0.25">
      <c r="A420" s="7" t="s">
        <v>721</v>
      </c>
      <c r="B420" s="7" t="s">
        <v>721</v>
      </c>
      <c r="C420" s="7" t="s">
        <v>617</v>
      </c>
      <c r="D420" s="7" t="s">
        <v>153</v>
      </c>
      <c r="E420" s="7" t="s">
        <v>657</v>
      </c>
      <c r="F420" s="48">
        <v>0</v>
      </c>
      <c r="G420" s="48">
        <v>0</v>
      </c>
      <c r="H420" s="48">
        <v>0</v>
      </c>
      <c r="I420" s="48">
        <v>0</v>
      </c>
      <c r="J420" s="48">
        <v>-1246.6300000000001</v>
      </c>
      <c r="K420" s="7" t="s">
        <v>104</v>
      </c>
      <c r="L420" s="7" t="s">
        <v>478</v>
      </c>
      <c r="M420" s="7" t="s">
        <v>619</v>
      </c>
      <c r="N420" s="7" t="s">
        <v>117</v>
      </c>
    </row>
    <row r="421" spans="1:14" x14ac:dyDescent="0.25">
      <c r="A421" s="7" t="s">
        <v>721</v>
      </c>
      <c r="B421" s="7" t="s">
        <v>721</v>
      </c>
      <c r="C421" s="7" t="s">
        <v>617</v>
      </c>
      <c r="D421" s="7" t="s">
        <v>153</v>
      </c>
      <c r="E421" s="7" t="s">
        <v>657</v>
      </c>
      <c r="F421" s="48">
        <v>0</v>
      </c>
      <c r="G421" s="48">
        <v>0</v>
      </c>
      <c r="H421" s="48">
        <v>0</v>
      </c>
      <c r="I421" s="48">
        <v>0</v>
      </c>
      <c r="J421" s="48">
        <v>1259.3399999999999</v>
      </c>
      <c r="K421" s="7" t="s">
        <v>620</v>
      </c>
      <c r="L421" s="7" t="s">
        <v>478</v>
      </c>
      <c r="M421" s="7" t="s">
        <v>619</v>
      </c>
      <c r="N421" s="7" t="s">
        <v>117</v>
      </c>
    </row>
    <row r="422" spans="1:14" x14ac:dyDescent="0.25">
      <c r="A422" s="7" t="s">
        <v>722</v>
      </c>
      <c r="B422" s="7" t="s">
        <v>722</v>
      </c>
      <c r="C422" s="7" t="s">
        <v>617</v>
      </c>
      <c r="D422" s="7" t="s">
        <v>153</v>
      </c>
      <c r="E422" s="7" t="s">
        <v>618</v>
      </c>
      <c r="F422" s="48">
        <v>0</v>
      </c>
      <c r="G422" s="48">
        <v>0</v>
      </c>
      <c r="H422" s="48">
        <v>0</v>
      </c>
      <c r="I422" s="48">
        <v>0</v>
      </c>
      <c r="J422" s="48">
        <v>408.15</v>
      </c>
      <c r="K422" s="7" t="s">
        <v>104</v>
      </c>
      <c r="L422" s="7" t="s">
        <v>478</v>
      </c>
      <c r="M422" s="7" t="s">
        <v>619</v>
      </c>
      <c r="N422" s="7" t="s">
        <v>117</v>
      </c>
    </row>
    <row r="423" spans="1:14" x14ac:dyDescent="0.25">
      <c r="A423" s="7" t="s">
        <v>722</v>
      </c>
      <c r="B423" s="7" t="s">
        <v>722</v>
      </c>
      <c r="C423" s="7" t="s">
        <v>617</v>
      </c>
      <c r="D423" s="7" t="s">
        <v>153</v>
      </c>
      <c r="E423" s="7" t="s">
        <v>618</v>
      </c>
      <c r="F423" s="48">
        <v>0</v>
      </c>
      <c r="G423" s="48">
        <v>0</v>
      </c>
      <c r="H423" s="48">
        <v>0</v>
      </c>
      <c r="I423" s="48">
        <v>0</v>
      </c>
      <c r="J423" s="48">
        <v>-419.82</v>
      </c>
      <c r="K423" s="7" t="s">
        <v>620</v>
      </c>
      <c r="L423" s="7" t="s">
        <v>478</v>
      </c>
      <c r="M423" s="7" t="s">
        <v>619</v>
      </c>
      <c r="N423" s="7" t="s">
        <v>117</v>
      </c>
    </row>
    <row r="424" spans="1:14" x14ac:dyDescent="0.25">
      <c r="A424" s="7" t="s">
        <v>723</v>
      </c>
      <c r="B424" s="7" t="s">
        <v>723</v>
      </c>
      <c r="C424" s="7" t="s">
        <v>617</v>
      </c>
      <c r="D424" s="7" t="s">
        <v>153</v>
      </c>
      <c r="E424" s="7" t="s">
        <v>618</v>
      </c>
      <c r="F424" s="48">
        <v>0</v>
      </c>
      <c r="G424" s="48">
        <v>0</v>
      </c>
      <c r="H424" s="48">
        <v>0</v>
      </c>
      <c r="I424" s="48">
        <v>0</v>
      </c>
      <c r="J424" s="48">
        <v>380.95</v>
      </c>
      <c r="K424" s="7" t="s">
        <v>104</v>
      </c>
      <c r="L424" s="7" t="s">
        <v>478</v>
      </c>
      <c r="M424" s="7" t="s">
        <v>619</v>
      </c>
      <c r="N424" s="7" t="s">
        <v>117</v>
      </c>
    </row>
    <row r="425" spans="1:14" x14ac:dyDescent="0.25">
      <c r="A425" s="7" t="s">
        <v>723</v>
      </c>
      <c r="B425" s="7" t="s">
        <v>723</v>
      </c>
      <c r="C425" s="7" t="s">
        <v>617</v>
      </c>
      <c r="D425" s="7" t="s">
        <v>153</v>
      </c>
      <c r="E425" s="7" t="s">
        <v>618</v>
      </c>
      <c r="F425" s="48">
        <v>0</v>
      </c>
      <c r="G425" s="48">
        <v>0</v>
      </c>
      <c r="H425" s="48">
        <v>0</v>
      </c>
      <c r="I425" s="48">
        <v>0</v>
      </c>
      <c r="J425" s="48">
        <v>-389.67</v>
      </c>
      <c r="K425" s="7" t="s">
        <v>620</v>
      </c>
      <c r="L425" s="7" t="s">
        <v>478</v>
      </c>
      <c r="M425" s="7" t="s">
        <v>619</v>
      </c>
      <c r="N425" s="7" t="s">
        <v>117</v>
      </c>
    </row>
    <row r="426" spans="1:14" x14ac:dyDescent="0.25">
      <c r="A426" s="7" t="s">
        <v>724</v>
      </c>
      <c r="B426" s="7" t="s">
        <v>724</v>
      </c>
      <c r="C426" s="7" t="s">
        <v>617</v>
      </c>
      <c r="D426" s="7" t="s">
        <v>153</v>
      </c>
      <c r="E426" s="7" t="s">
        <v>618</v>
      </c>
      <c r="F426" s="48">
        <v>0</v>
      </c>
      <c r="G426" s="48">
        <v>0</v>
      </c>
      <c r="H426" s="48">
        <v>0</v>
      </c>
      <c r="I426" s="48">
        <v>0</v>
      </c>
      <c r="J426" s="48">
        <v>1013.07</v>
      </c>
      <c r="K426" s="7" t="s">
        <v>104</v>
      </c>
      <c r="L426" s="7" t="s">
        <v>478</v>
      </c>
      <c r="M426" s="7" t="s">
        <v>619</v>
      </c>
      <c r="N426" s="7" t="s">
        <v>117</v>
      </c>
    </row>
    <row r="427" spans="1:14" x14ac:dyDescent="0.25">
      <c r="A427" s="7" t="s">
        <v>724</v>
      </c>
      <c r="B427" s="7" t="s">
        <v>724</v>
      </c>
      <c r="C427" s="7" t="s">
        <v>617</v>
      </c>
      <c r="D427" s="7" t="s">
        <v>153</v>
      </c>
      <c r="E427" s="7" t="s">
        <v>618</v>
      </c>
      <c r="F427" s="48">
        <v>0</v>
      </c>
      <c r="G427" s="48">
        <v>0</v>
      </c>
      <c r="H427" s="48">
        <v>0</v>
      </c>
      <c r="I427" s="48">
        <v>0</v>
      </c>
      <c r="J427" s="48">
        <v>-1045.08</v>
      </c>
      <c r="K427" s="7" t="s">
        <v>620</v>
      </c>
      <c r="L427" s="7" t="s">
        <v>478</v>
      </c>
      <c r="M427" s="7" t="s">
        <v>619</v>
      </c>
      <c r="N427" s="7" t="s">
        <v>117</v>
      </c>
    </row>
    <row r="428" spans="1:14" x14ac:dyDescent="0.25">
      <c r="A428" s="7" t="s">
        <v>725</v>
      </c>
      <c r="B428" s="7" t="s">
        <v>725</v>
      </c>
      <c r="C428" s="7" t="s">
        <v>617</v>
      </c>
      <c r="D428" s="7" t="s">
        <v>153</v>
      </c>
      <c r="E428" s="7" t="s">
        <v>657</v>
      </c>
      <c r="F428" s="48">
        <v>0</v>
      </c>
      <c r="G428" s="48">
        <v>0</v>
      </c>
      <c r="H428" s="48">
        <v>0</v>
      </c>
      <c r="I428" s="48">
        <v>0</v>
      </c>
      <c r="J428" s="48">
        <v>-103.18</v>
      </c>
      <c r="K428" s="7" t="s">
        <v>104</v>
      </c>
      <c r="L428" s="7" t="s">
        <v>478</v>
      </c>
      <c r="M428" s="7" t="s">
        <v>619</v>
      </c>
      <c r="N428" s="7" t="s">
        <v>117</v>
      </c>
    </row>
    <row r="429" spans="1:14" x14ac:dyDescent="0.25">
      <c r="A429" s="7" t="s">
        <v>725</v>
      </c>
      <c r="B429" s="7" t="s">
        <v>725</v>
      </c>
      <c r="C429" s="7" t="s">
        <v>617</v>
      </c>
      <c r="D429" s="7" t="s">
        <v>153</v>
      </c>
      <c r="E429" s="7" t="s">
        <v>657</v>
      </c>
      <c r="F429" s="48">
        <v>0</v>
      </c>
      <c r="G429" s="48">
        <v>0</v>
      </c>
      <c r="H429" s="48">
        <v>0</v>
      </c>
      <c r="I429" s="48">
        <v>0</v>
      </c>
      <c r="J429" s="48">
        <v>106.64</v>
      </c>
      <c r="K429" s="7" t="s">
        <v>620</v>
      </c>
      <c r="L429" s="7" t="s">
        <v>478</v>
      </c>
      <c r="M429" s="7" t="s">
        <v>619</v>
      </c>
      <c r="N429" s="7" t="s">
        <v>117</v>
      </c>
    </row>
    <row r="430" spans="1:14" x14ac:dyDescent="0.25">
      <c r="A430" s="7" t="s">
        <v>726</v>
      </c>
      <c r="B430" s="7" t="s">
        <v>726</v>
      </c>
      <c r="C430" s="7" t="s">
        <v>617</v>
      </c>
      <c r="D430" s="7" t="s">
        <v>153</v>
      </c>
      <c r="E430" s="7" t="s">
        <v>657</v>
      </c>
      <c r="F430" s="48">
        <v>0</v>
      </c>
      <c r="G430" s="48">
        <v>0</v>
      </c>
      <c r="H430" s="48">
        <v>0</v>
      </c>
      <c r="I430" s="48">
        <v>0</v>
      </c>
      <c r="J430" s="48">
        <v>-887.83</v>
      </c>
      <c r="K430" s="7" t="s">
        <v>104</v>
      </c>
      <c r="L430" s="7" t="s">
        <v>478</v>
      </c>
      <c r="M430" s="7" t="s">
        <v>619</v>
      </c>
      <c r="N430" s="7" t="s">
        <v>117</v>
      </c>
    </row>
    <row r="431" spans="1:14" x14ac:dyDescent="0.25">
      <c r="A431" s="7" t="s">
        <v>726</v>
      </c>
      <c r="B431" s="7" t="s">
        <v>726</v>
      </c>
      <c r="C431" s="7" t="s">
        <v>617</v>
      </c>
      <c r="D431" s="7" t="s">
        <v>153</v>
      </c>
      <c r="E431" s="7" t="s">
        <v>657</v>
      </c>
      <c r="F431" s="48">
        <v>0</v>
      </c>
      <c r="G431" s="48">
        <v>0</v>
      </c>
      <c r="H431" s="48">
        <v>0</v>
      </c>
      <c r="I431" s="48">
        <v>0</v>
      </c>
      <c r="J431" s="48">
        <v>916.86</v>
      </c>
      <c r="K431" s="7" t="s">
        <v>620</v>
      </c>
      <c r="L431" s="7" t="s">
        <v>478</v>
      </c>
      <c r="M431" s="7" t="s">
        <v>619</v>
      </c>
      <c r="N431" s="7" t="s">
        <v>117</v>
      </c>
    </row>
    <row r="432" spans="1:14" x14ac:dyDescent="0.25">
      <c r="A432" s="7" t="s">
        <v>727</v>
      </c>
      <c r="B432" s="7" t="s">
        <v>727</v>
      </c>
      <c r="C432" s="7" t="s">
        <v>617</v>
      </c>
      <c r="D432" s="7" t="s">
        <v>153</v>
      </c>
      <c r="E432" s="7" t="s">
        <v>618</v>
      </c>
      <c r="F432" s="48">
        <v>0</v>
      </c>
      <c r="G432" s="48">
        <v>0</v>
      </c>
      <c r="H432" s="48">
        <v>0</v>
      </c>
      <c r="I432" s="48">
        <v>0</v>
      </c>
      <c r="J432" s="48">
        <v>804.3</v>
      </c>
      <c r="K432" s="7" t="s">
        <v>104</v>
      </c>
      <c r="L432" s="7" t="s">
        <v>478</v>
      </c>
      <c r="M432" s="7" t="s">
        <v>619</v>
      </c>
      <c r="N432" s="7" t="s">
        <v>117</v>
      </c>
    </row>
    <row r="433" spans="1:14" x14ac:dyDescent="0.25">
      <c r="A433" s="7" t="s">
        <v>727</v>
      </c>
      <c r="B433" s="7" t="s">
        <v>727</v>
      </c>
      <c r="C433" s="7" t="s">
        <v>617</v>
      </c>
      <c r="D433" s="7" t="s">
        <v>153</v>
      </c>
      <c r="E433" s="7" t="s">
        <v>618</v>
      </c>
      <c r="F433" s="48">
        <v>0</v>
      </c>
      <c r="G433" s="48">
        <v>0</v>
      </c>
      <c r="H433" s="48">
        <v>0</v>
      </c>
      <c r="I433" s="48">
        <v>0</v>
      </c>
      <c r="J433" s="48">
        <v>-852.55</v>
      </c>
      <c r="K433" s="7" t="s">
        <v>620</v>
      </c>
      <c r="L433" s="7" t="s">
        <v>478</v>
      </c>
      <c r="M433" s="7" t="s">
        <v>619</v>
      </c>
      <c r="N433" s="7" t="s">
        <v>117</v>
      </c>
    </row>
    <row r="434" spans="1:14" x14ac:dyDescent="0.25">
      <c r="A434" s="7" t="s">
        <v>728</v>
      </c>
      <c r="B434" s="7" t="s">
        <v>728</v>
      </c>
      <c r="C434" s="7" t="s">
        <v>617</v>
      </c>
      <c r="D434" s="7" t="s">
        <v>153</v>
      </c>
      <c r="E434" s="7" t="s">
        <v>618</v>
      </c>
      <c r="F434" s="48">
        <v>0</v>
      </c>
      <c r="G434" s="48">
        <v>0</v>
      </c>
      <c r="H434" s="48">
        <v>0</v>
      </c>
      <c r="I434" s="48">
        <v>0</v>
      </c>
      <c r="J434" s="48">
        <v>44.12</v>
      </c>
      <c r="K434" s="7" t="s">
        <v>104</v>
      </c>
      <c r="L434" s="7" t="s">
        <v>478</v>
      </c>
      <c r="M434" s="7" t="s">
        <v>619</v>
      </c>
      <c r="N434" s="7" t="s">
        <v>117</v>
      </c>
    </row>
    <row r="435" spans="1:14" x14ac:dyDescent="0.25">
      <c r="A435" s="7" t="s">
        <v>728</v>
      </c>
      <c r="B435" s="7" t="s">
        <v>728</v>
      </c>
      <c r="C435" s="7" t="s">
        <v>617</v>
      </c>
      <c r="D435" s="7" t="s">
        <v>153</v>
      </c>
      <c r="E435" s="7" t="s">
        <v>618</v>
      </c>
      <c r="F435" s="48">
        <v>0</v>
      </c>
      <c r="G435" s="48">
        <v>0</v>
      </c>
      <c r="H435" s="48">
        <v>0</v>
      </c>
      <c r="I435" s="48">
        <v>0</v>
      </c>
      <c r="J435" s="48">
        <v>-46.78</v>
      </c>
      <c r="K435" s="7" t="s">
        <v>620</v>
      </c>
      <c r="L435" s="7" t="s">
        <v>478</v>
      </c>
      <c r="M435" s="7" t="s">
        <v>619</v>
      </c>
      <c r="N435" s="7" t="s">
        <v>117</v>
      </c>
    </row>
    <row r="436" spans="1:14" x14ac:dyDescent="0.25">
      <c r="A436" s="7" t="s">
        <v>729</v>
      </c>
      <c r="B436" s="7" t="s">
        <v>729</v>
      </c>
      <c r="C436" s="7" t="s">
        <v>617</v>
      </c>
      <c r="D436" s="7" t="s">
        <v>153</v>
      </c>
      <c r="E436" s="7" t="s">
        <v>657</v>
      </c>
      <c r="F436" s="48">
        <v>0</v>
      </c>
      <c r="G436" s="48">
        <v>0</v>
      </c>
      <c r="H436" s="48">
        <v>0</v>
      </c>
      <c r="I436" s="48">
        <v>0</v>
      </c>
      <c r="J436" s="48">
        <v>-57.98</v>
      </c>
      <c r="K436" s="7" t="s">
        <v>104</v>
      </c>
      <c r="L436" s="7" t="s">
        <v>478</v>
      </c>
      <c r="M436" s="7" t="s">
        <v>619</v>
      </c>
      <c r="N436" s="7" t="s">
        <v>117</v>
      </c>
    </row>
    <row r="437" spans="1:14" x14ac:dyDescent="0.25">
      <c r="A437" s="7" t="s">
        <v>729</v>
      </c>
      <c r="B437" s="7" t="s">
        <v>729</v>
      </c>
      <c r="C437" s="7" t="s">
        <v>617</v>
      </c>
      <c r="D437" s="7" t="s">
        <v>153</v>
      </c>
      <c r="E437" s="7" t="s">
        <v>657</v>
      </c>
      <c r="F437" s="48">
        <v>0</v>
      </c>
      <c r="G437" s="48">
        <v>0</v>
      </c>
      <c r="H437" s="48">
        <v>0</v>
      </c>
      <c r="I437" s="48">
        <v>0</v>
      </c>
      <c r="J437" s="48">
        <v>59.29</v>
      </c>
      <c r="K437" s="7" t="s">
        <v>620</v>
      </c>
      <c r="L437" s="7" t="s">
        <v>478</v>
      </c>
      <c r="M437" s="7" t="s">
        <v>619</v>
      </c>
      <c r="N437" s="7" t="s">
        <v>117</v>
      </c>
    </row>
    <row r="438" spans="1:14" x14ac:dyDescent="0.25">
      <c r="A438" s="7" t="s">
        <v>730</v>
      </c>
      <c r="B438" s="7" t="s">
        <v>730</v>
      </c>
      <c r="C438" s="7" t="s">
        <v>617</v>
      </c>
      <c r="D438" s="7" t="s">
        <v>153</v>
      </c>
      <c r="E438" s="7" t="s">
        <v>657</v>
      </c>
      <c r="F438" s="48">
        <v>0</v>
      </c>
      <c r="G438" s="48">
        <v>0</v>
      </c>
      <c r="H438" s="48">
        <v>0</v>
      </c>
      <c r="I438" s="48">
        <v>0</v>
      </c>
      <c r="J438" s="48">
        <v>-173.13</v>
      </c>
      <c r="K438" s="7" t="s">
        <v>104</v>
      </c>
      <c r="L438" s="7" t="s">
        <v>478</v>
      </c>
      <c r="M438" s="7" t="s">
        <v>619</v>
      </c>
      <c r="N438" s="7" t="s">
        <v>117</v>
      </c>
    </row>
    <row r="439" spans="1:14" x14ac:dyDescent="0.25">
      <c r="A439" s="7" t="s">
        <v>730</v>
      </c>
      <c r="B439" s="7" t="s">
        <v>730</v>
      </c>
      <c r="C439" s="7" t="s">
        <v>617</v>
      </c>
      <c r="D439" s="7" t="s">
        <v>153</v>
      </c>
      <c r="E439" s="7" t="s">
        <v>657</v>
      </c>
      <c r="F439" s="48">
        <v>0</v>
      </c>
      <c r="G439" s="48">
        <v>0</v>
      </c>
      <c r="H439" s="48">
        <v>0</v>
      </c>
      <c r="I439" s="48">
        <v>0</v>
      </c>
      <c r="J439" s="48">
        <v>170.58</v>
      </c>
      <c r="K439" s="7" t="s">
        <v>620</v>
      </c>
      <c r="L439" s="7" t="s">
        <v>478</v>
      </c>
      <c r="M439" s="7" t="s">
        <v>619</v>
      </c>
      <c r="N439" s="7" t="s">
        <v>117</v>
      </c>
    </row>
    <row r="440" spans="1:14" x14ac:dyDescent="0.25">
      <c r="A440" s="7" t="s">
        <v>731</v>
      </c>
      <c r="B440" s="7" t="s">
        <v>731</v>
      </c>
      <c r="C440" s="7" t="s">
        <v>617</v>
      </c>
      <c r="D440" s="7" t="s">
        <v>153</v>
      </c>
      <c r="E440" s="7" t="s">
        <v>657</v>
      </c>
      <c r="F440" s="48">
        <v>0</v>
      </c>
      <c r="G440" s="48">
        <v>0</v>
      </c>
      <c r="H440" s="48">
        <v>0</v>
      </c>
      <c r="I440" s="48">
        <v>0</v>
      </c>
      <c r="J440" s="48">
        <v>-3.5</v>
      </c>
      <c r="K440" s="7" t="s">
        <v>104</v>
      </c>
      <c r="L440" s="7" t="s">
        <v>478</v>
      </c>
      <c r="M440" s="7" t="s">
        <v>619</v>
      </c>
      <c r="N440" s="7" t="s">
        <v>117</v>
      </c>
    </row>
    <row r="441" spans="1:14" x14ac:dyDescent="0.25">
      <c r="A441" s="7" t="s">
        <v>731</v>
      </c>
      <c r="B441" s="7" t="s">
        <v>731</v>
      </c>
      <c r="C441" s="7" t="s">
        <v>617</v>
      </c>
      <c r="D441" s="7" t="s">
        <v>153</v>
      </c>
      <c r="E441" s="7" t="s">
        <v>657</v>
      </c>
      <c r="F441" s="48">
        <v>0</v>
      </c>
      <c r="G441" s="48">
        <v>0</v>
      </c>
      <c r="H441" s="48">
        <v>0</v>
      </c>
      <c r="I441" s="48">
        <v>0</v>
      </c>
      <c r="J441" s="48">
        <v>3.45</v>
      </c>
      <c r="K441" s="7" t="s">
        <v>620</v>
      </c>
      <c r="L441" s="7" t="s">
        <v>478</v>
      </c>
      <c r="M441" s="7" t="s">
        <v>619</v>
      </c>
      <c r="N441" s="7" t="s">
        <v>117</v>
      </c>
    </row>
    <row r="442" spans="1:14" x14ac:dyDescent="0.25">
      <c r="A442" s="7" t="s">
        <v>732</v>
      </c>
      <c r="B442" s="7" t="s">
        <v>732</v>
      </c>
      <c r="C442" s="7" t="s">
        <v>617</v>
      </c>
      <c r="D442" s="7" t="s">
        <v>153</v>
      </c>
      <c r="E442" s="7" t="s">
        <v>657</v>
      </c>
      <c r="F442" s="48">
        <v>0</v>
      </c>
      <c r="G442" s="48">
        <v>0</v>
      </c>
      <c r="H442" s="48">
        <v>0</v>
      </c>
      <c r="I442" s="48">
        <v>0</v>
      </c>
      <c r="J442" s="48">
        <v>-268.60000000000002</v>
      </c>
      <c r="K442" s="7" t="s">
        <v>104</v>
      </c>
      <c r="L442" s="7" t="s">
        <v>478</v>
      </c>
      <c r="M442" s="7" t="s">
        <v>619</v>
      </c>
      <c r="N442" s="7" t="s">
        <v>117</v>
      </c>
    </row>
    <row r="443" spans="1:14" x14ac:dyDescent="0.25">
      <c r="A443" s="7" t="s">
        <v>732</v>
      </c>
      <c r="B443" s="7" t="s">
        <v>732</v>
      </c>
      <c r="C443" s="7" t="s">
        <v>617</v>
      </c>
      <c r="D443" s="7" t="s">
        <v>153</v>
      </c>
      <c r="E443" s="7" t="s">
        <v>657</v>
      </c>
      <c r="F443" s="48">
        <v>0</v>
      </c>
      <c r="G443" s="48">
        <v>0</v>
      </c>
      <c r="H443" s="48">
        <v>0</v>
      </c>
      <c r="I443" s="48">
        <v>0</v>
      </c>
      <c r="J443" s="48">
        <v>261.61</v>
      </c>
      <c r="K443" s="7" t="s">
        <v>620</v>
      </c>
      <c r="L443" s="7" t="s">
        <v>478</v>
      </c>
      <c r="M443" s="7" t="s">
        <v>619</v>
      </c>
      <c r="N443" s="7" t="s">
        <v>117</v>
      </c>
    </row>
    <row r="444" spans="1:14" x14ac:dyDescent="0.25">
      <c r="A444" s="7" t="s">
        <v>733</v>
      </c>
      <c r="B444" s="7" t="s">
        <v>733</v>
      </c>
      <c r="C444" s="7" t="s">
        <v>617</v>
      </c>
      <c r="D444" s="7" t="s">
        <v>153</v>
      </c>
      <c r="E444" s="7" t="s">
        <v>618</v>
      </c>
      <c r="F444" s="48">
        <v>0</v>
      </c>
      <c r="G444" s="48">
        <v>0</v>
      </c>
      <c r="H444" s="48">
        <v>0</v>
      </c>
      <c r="I444" s="48">
        <v>0</v>
      </c>
      <c r="J444" s="48">
        <v>464.95</v>
      </c>
      <c r="K444" s="7" t="s">
        <v>104</v>
      </c>
      <c r="L444" s="7" t="s">
        <v>478</v>
      </c>
      <c r="M444" s="7" t="s">
        <v>619</v>
      </c>
      <c r="N444" s="7" t="s">
        <v>117</v>
      </c>
    </row>
    <row r="445" spans="1:14" x14ac:dyDescent="0.25">
      <c r="A445" s="7" t="s">
        <v>733</v>
      </c>
      <c r="B445" s="7" t="s">
        <v>733</v>
      </c>
      <c r="C445" s="7" t="s">
        <v>617</v>
      </c>
      <c r="D445" s="7" t="s">
        <v>153</v>
      </c>
      <c r="E445" s="7" t="s">
        <v>618</v>
      </c>
      <c r="F445" s="48">
        <v>0</v>
      </c>
      <c r="G445" s="48">
        <v>0</v>
      </c>
      <c r="H445" s="48">
        <v>0</v>
      </c>
      <c r="I445" s="48">
        <v>0</v>
      </c>
      <c r="J445" s="48">
        <v>-462.71</v>
      </c>
      <c r="K445" s="7" t="s">
        <v>620</v>
      </c>
      <c r="L445" s="7" t="s">
        <v>478</v>
      </c>
      <c r="M445" s="7" t="s">
        <v>619</v>
      </c>
      <c r="N445" s="7" t="s">
        <v>117</v>
      </c>
    </row>
    <row r="446" spans="1:14" x14ac:dyDescent="0.25">
      <c r="A446" s="7" t="s">
        <v>734</v>
      </c>
      <c r="B446" s="7" t="s">
        <v>734</v>
      </c>
      <c r="C446" s="7" t="s">
        <v>617</v>
      </c>
      <c r="D446" s="7" t="s">
        <v>153</v>
      </c>
      <c r="E446" s="7" t="s">
        <v>618</v>
      </c>
      <c r="F446" s="48">
        <v>0</v>
      </c>
      <c r="G446" s="48">
        <v>0</v>
      </c>
      <c r="H446" s="48">
        <v>0</v>
      </c>
      <c r="I446" s="48">
        <v>0</v>
      </c>
      <c r="J446" s="48">
        <v>218.45</v>
      </c>
      <c r="K446" s="7" t="s">
        <v>104</v>
      </c>
      <c r="L446" s="7" t="s">
        <v>478</v>
      </c>
      <c r="M446" s="7" t="s">
        <v>619</v>
      </c>
      <c r="N446" s="7" t="s">
        <v>117</v>
      </c>
    </row>
    <row r="447" spans="1:14" x14ac:dyDescent="0.25">
      <c r="A447" s="7" t="s">
        <v>734</v>
      </c>
      <c r="B447" s="7" t="s">
        <v>734</v>
      </c>
      <c r="C447" s="7" t="s">
        <v>617</v>
      </c>
      <c r="D447" s="7" t="s">
        <v>153</v>
      </c>
      <c r="E447" s="7" t="s">
        <v>618</v>
      </c>
      <c r="F447" s="48">
        <v>0</v>
      </c>
      <c r="G447" s="48">
        <v>0</v>
      </c>
      <c r="H447" s="48">
        <v>0</v>
      </c>
      <c r="I447" s="48">
        <v>0</v>
      </c>
      <c r="J447" s="48">
        <v>-211.06</v>
      </c>
      <c r="K447" s="7" t="s">
        <v>620</v>
      </c>
      <c r="L447" s="7" t="s">
        <v>478</v>
      </c>
      <c r="M447" s="7" t="s">
        <v>619</v>
      </c>
      <c r="N447" s="7" t="s">
        <v>117</v>
      </c>
    </row>
    <row r="448" spans="1:14" x14ac:dyDescent="0.25">
      <c r="A448" s="7" t="s">
        <v>735</v>
      </c>
      <c r="B448" s="7" t="s">
        <v>735</v>
      </c>
      <c r="C448" s="7" t="s">
        <v>617</v>
      </c>
      <c r="D448" s="7" t="s">
        <v>153</v>
      </c>
      <c r="E448" s="7" t="s">
        <v>618</v>
      </c>
      <c r="F448" s="48">
        <v>0</v>
      </c>
      <c r="G448" s="48">
        <v>0</v>
      </c>
      <c r="H448" s="48">
        <v>0</v>
      </c>
      <c r="I448" s="48">
        <v>0</v>
      </c>
      <c r="J448" s="48">
        <v>1202.8499999999999</v>
      </c>
      <c r="K448" s="7" t="s">
        <v>104</v>
      </c>
      <c r="L448" s="7" t="s">
        <v>155</v>
      </c>
      <c r="M448" s="7" t="s">
        <v>619</v>
      </c>
      <c r="N448" s="7" t="s">
        <v>157</v>
      </c>
    </row>
    <row r="449" spans="1:14" x14ac:dyDescent="0.25">
      <c r="A449" s="7" t="s">
        <v>735</v>
      </c>
      <c r="B449" s="7" t="s">
        <v>735</v>
      </c>
      <c r="C449" s="7" t="s">
        <v>617</v>
      </c>
      <c r="D449" s="7" t="s">
        <v>153</v>
      </c>
      <c r="E449" s="7" t="s">
        <v>618</v>
      </c>
      <c r="F449" s="48">
        <v>0</v>
      </c>
      <c r="G449" s="48">
        <v>0</v>
      </c>
      <c r="H449" s="48">
        <v>0</v>
      </c>
      <c r="I449" s="48">
        <v>0</v>
      </c>
      <c r="J449" s="48">
        <v>-1152.21</v>
      </c>
      <c r="K449" s="7" t="s">
        <v>620</v>
      </c>
      <c r="L449" s="7" t="s">
        <v>155</v>
      </c>
      <c r="M449" s="7" t="s">
        <v>619</v>
      </c>
      <c r="N449" s="7" t="s">
        <v>157</v>
      </c>
    </row>
    <row r="450" spans="1:14" x14ac:dyDescent="0.25">
      <c r="A450" s="7" t="s">
        <v>616</v>
      </c>
      <c r="B450" s="7" t="s">
        <v>736</v>
      </c>
      <c r="C450" s="7" t="s">
        <v>121</v>
      </c>
      <c r="D450" s="7" t="s">
        <v>87</v>
      </c>
      <c r="E450" s="7" t="s">
        <v>737</v>
      </c>
      <c r="F450" s="48">
        <v>100</v>
      </c>
      <c r="G450" s="48">
        <v>10.3</v>
      </c>
      <c r="H450" s="48">
        <v>-1030</v>
      </c>
      <c r="I450" s="48">
        <v>-4.95</v>
      </c>
      <c r="J450" s="48">
        <v>-1034.95</v>
      </c>
      <c r="K450" s="7" t="s">
        <v>104</v>
      </c>
      <c r="L450" s="7" t="s">
        <v>112</v>
      </c>
      <c r="M450" s="7" t="s">
        <v>738</v>
      </c>
      <c r="N450" s="7" t="s">
        <v>118</v>
      </c>
    </row>
    <row r="451" spans="1:14" x14ac:dyDescent="0.25">
      <c r="A451" s="7" t="s">
        <v>621</v>
      </c>
      <c r="B451" s="7" t="s">
        <v>739</v>
      </c>
      <c r="C451" s="7" t="s">
        <v>121</v>
      </c>
      <c r="D451" s="7" t="s">
        <v>87</v>
      </c>
      <c r="E451" s="7" t="s">
        <v>740</v>
      </c>
      <c r="F451" s="48">
        <v>20</v>
      </c>
      <c r="G451" s="48">
        <v>23.89</v>
      </c>
      <c r="H451" s="48">
        <v>-477.8</v>
      </c>
      <c r="I451" s="48">
        <v>-4.95</v>
      </c>
      <c r="J451" s="48">
        <v>-482.75</v>
      </c>
      <c r="K451" s="7" t="s">
        <v>104</v>
      </c>
      <c r="L451" s="7" t="s">
        <v>112</v>
      </c>
      <c r="M451" s="7" t="s">
        <v>738</v>
      </c>
      <c r="N451" s="7" t="s">
        <v>118</v>
      </c>
    </row>
    <row r="452" spans="1:14" x14ac:dyDescent="0.25">
      <c r="A452" s="7" t="s">
        <v>622</v>
      </c>
      <c r="B452" s="7" t="s">
        <v>741</v>
      </c>
      <c r="C452" s="7" t="s">
        <v>121</v>
      </c>
      <c r="D452" s="7" t="s">
        <v>111</v>
      </c>
      <c r="E452" s="7" t="s">
        <v>742</v>
      </c>
      <c r="F452" s="48">
        <v>70</v>
      </c>
      <c r="G452" s="48">
        <v>10.7</v>
      </c>
      <c r="H452" s="48">
        <v>-749</v>
      </c>
      <c r="I452" s="48">
        <v>-4.95</v>
      </c>
      <c r="J452" s="48">
        <v>-753.95</v>
      </c>
      <c r="K452" s="7" t="s">
        <v>104</v>
      </c>
      <c r="L452" s="7" t="s">
        <v>112</v>
      </c>
      <c r="M452" s="7" t="s">
        <v>738</v>
      </c>
      <c r="N452" s="7" t="s">
        <v>118</v>
      </c>
    </row>
    <row r="453" spans="1:14" x14ac:dyDescent="0.25">
      <c r="A453" s="7" t="s">
        <v>743</v>
      </c>
      <c r="B453" s="7" t="s">
        <v>744</v>
      </c>
      <c r="C453" s="7" t="s">
        <v>121</v>
      </c>
      <c r="D453" s="7" t="s">
        <v>613</v>
      </c>
      <c r="E453" s="7" t="s">
        <v>745</v>
      </c>
      <c r="F453" s="48">
        <v>3</v>
      </c>
      <c r="G453" s="48">
        <v>0.15</v>
      </c>
      <c r="H453" s="48">
        <v>-45</v>
      </c>
      <c r="I453" s="48">
        <v>-12.95</v>
      </c>
      <c r="J453" s="48">
        <v>-57.95</v>
      </c>
      <c r="K453" s="7" t="s">
        <v>104</v>
      </c>
      <c r="L453" s="7" t="s">
        <v>112</v>
      </c>
      <c r="M453" s="7" t="s">
        <v>738</v>
      </c>
      <c r="N453" s="7" t="s">
        <v>118</v>
      </c>
    </row>
    <row r="454" spans="1:14" x14ac:dyDescent="0.25">
      <c r="A454" s="7" t="s">
        <v>746</v>
      </c>
      <c r="B454" s="7" t="s">
        <v>747</v>
      </c>
      <c r="C454" s="7" t="s">
        <v>84</v>
      </c>
      <c r="D454" s="7" t="s">
        <v>107</v>
      </c>
      <c r="E454" s="7" t="s">
        <v>748</v>
      </c>
      <c r="F454" s="48">
        <v>-25</v>
      </c>
      <c r="G454" s="48">
        <v>29.98</v>
      </c>
      <c r="H454" s="48">
        <v>749.5</v>
      </c>
      <c r="I454" s="48">
        <v>-4.97</v>
      </c>
      <c r="J454" s="48">
        <v>744.53</v>
      </c>
      <c r="K454" s="7" t="s">
        <v>104</v>
      </c>
      <c r="L454" s="7" t="s">
        <v>112</v>
      </c>
      <c r="M454" s="7" t="s">
        <v>738</v>
      </c>
      <c r="N454" s="7" t="s">
        <v>118</v>
      </c>
    </row>
    <row r="455" spans="1:14" x14ac:dyDescent="0.25">
      <c r="A455" s="7" t="s">
        <v>623</v>
      </c>
      <c r="B455" s="7" t="s">
        <v>749</v>
      </c>
      <c r="C455" s="7" t="s">
        <v>121</v>
      </c>
      <c r="D455" s="7" t="s">
        <v>107</v>
      </c>
      <c r="E455" s="7" t="s">
        <v>748</v>
      </c>
      <c r="F455" s="48">
        <v>25</v>
      </c>
      <c r="G455" s="48">
        <v>29.6</v>
      </c>
      <c r="H455" s="48">
        <v>-740</v>
      </c>
      <c r="I455" s="48">
        <v>-4.95</v>
      </c>
      <c r="J455" s="48">
        <v>-744.95</v>
      </c>
      <c r="K455" s="7" t="s">
        <v>104</v>
      </c>
      <c r="L455" s="7" t="s">
        <v>112</v>
      </c>
      <c r="M455" s="7" t="s">
        <v>738</v>
      </c>
      <c r="N455" s="7" t="s">
        <v>118</v>
      </c>
    </row>
    <row r="456" spans="1:14" x14ac:dyDescent="0.25">
      <c r="A456" s="7" t="s">
        <v>623</v>
      </c>
      <c r="B456" s="7" t="s">
        <v>749</v>
      </c>
      <c r="C456" s="7" t="s">
        <v>121</v>
      </c>
      <c r="D456" s="7" t="s">
        <v>113</v>
      </c>
      <c r="E456" s="7" t="s">
        <v>750</v>
      </c>
      <c r="F456" s="48">
        <v>1</v>
      </c>
      <c r="G456" s="48">
        <v>540</v>
      </c>
      <c r="H456" s="48">
        <v>-540</v>
      </c>
      <c r="I456" s="48">
        <v>-4.95</v>
      </c>
      <c r="J456" s="48">
        <v>-544.95000000000005</v>
      </c>
      <c r="K456" s="7" t="s">
        <v>104</v>
      </c>
      <c r="L456" s="7" t="s">
        <v>112</v>
      </c>
      <c r="M456" s="7" t="s">
        <v>738</v>
      </c>
      <c r="N456" s="7" t="s">
        <v>118</v>
      </c>
    </row>
    <row r="457" spans="1:14" x14ac:dyDescent="0.25">
      <c r="A457" s="7" t="s">
        <v>751</v>
      </c>
      <c r="B457" s="7" t="s">
        <v>752</v>
      </c>
      <c r="C457" s="7" t="s">
        <v>84</v>
      </c>
      <c r="D457" s="7" t="s">
        <v>113</v>
      </c>
      <c r="E457" s="7" t="s">
        <v>750</v>
      </c>
      <c r="F457" s="48">
        <v>-1</v>
      </c>
      <c r="G457" s="48">
        <v>548</v>
      </c>
      <c r="H457" s="48">
        <v>548</v>
      </c>
      <c r="I457" s="48">
        <v>-4.97</v>
      </c>
      <c r="J457" s="48">
        <v>543.03</v>
      </c>
      <c r="K457" s="7" t="s">
        <v>104</v>
      </c>
      <c r="L457" s="7" t="s">
        <v>112</v>
      </c>
      <c r="M457" s="7" t="s">
        <v>738</v>
      </c>
      <c r="N457" s="7" t="s">
        <v>118</v>
      </c>
    </row>
    <row r="458" spans="1:14" x14ac:dyDescent="0.25">
      <c r="A458" s="7" t="s">
        <v>624</v>
      </c>
      <c r="B458" s="7" t="s">
        <v>753</v>
      </c>
      <c r="C458" s="7" t="s">
        <v>121</v>
      </c>
      <c r="D458" s="7" t="s">
        <v>113</v>
      </c>
      <c r="E458" s="7" t="s">
        <v>750</v>
      </c>
      <c r="F458" s="48">
        <v>1</v>
      </c>
      <c r="G458" s="48">
        <v>580</v>
      </c>
      <c r="H458" s="48">
        <v>-580</v>
      </c>
      <c r="I458" s="48">
        <v>-4.95</v>
      </c>
      <c r="J458" s="48">
        <v>-584.95000000000005</v>
      </c>
      <c r="K458" s="7" t="s">
        <v>104</v>
      </c>
      <c r="L458" s="7" t="s">
        <v>112</v>
      </c>
      <c r="M458" s="7" t="s">
        <v>738</v>
      </c>
      <c r="N458" s="7" t="s">
        <v>118</v>
      </c>
    </row>
    <row r="459" spans="1:14" x14ac:dyDescent="0.25">
      <c r="A459" s="7" t="s">
        <v>625</v>
      </c>
      <c r="B459" s="7" t="s">
        <v>754</v>
      </c>
      <c r="C459" s="7" t="s">
        <v>121</v>
      </c>
      <c r="D459" s="7" t="s">
        <v>114</v>
      </c>
      <c r="E459" s="7" t="s">
        <v>755</v>
      </c>
      <c r="F459" s="48">
        <v>50</v>
      </c>
      <c r="G459" s="48">
        <v>9.68</v>
      </c>
      <c r="H459" s="48">
        <v>-484</v>
      </c>
      <c r="I459" s="48">
        <v>-4.95</v>
      </c>
      <c r="J459" s="48">
        <v>-488.95</v>
      </c>
      <c r="K459" s="7" t="s">
        <v>104</v>
      </c>
      <c r="L459" s="7" t="s">
        <v>112</v>
      </c>
      <c r="M459" s="7" t="s">
        <v>738</v>
      </c>
      <c r="N459" s="7" t="s">
        <v>118</v>
      </c>
    </row>
    <row r="460" spans="1:14" x14ac:dyDescent="0.25">
      <c r="A460" s="7" t="s">
        <v>626</v>
      </c>
      <c r="B460" s="7" t="s">
        <v>756</v>
      </c>
      <c r="C460" s="7" t="s">
        <v>121</v>
      </c>
      <c r="D460" s="7" t="s">
        <v>90</v>
      </c>
      <c r="E460" s="7" t="s">
        <v>757</v>
      </c>
      <c r="F460" s="48">
        <v>5</v>
      </c>
      <c r="G460" s="48">
        <v>199.96</v>
      </c>
      <c r="H460" s="48">
        <v>-999.8</v>
      </c>
      <c r="I460" s="48">
        <v>-4.95</v>
      </c>
      <c r="J460" s="48">
        <v>-1004.75</v>
      </c>
      <c r="K460" s="7" t="s">
        <v>104</v>
      </c>
      <c r="L460" s="7" t="s">
        <v>103</v>
      </c>
      <c r="M460" s="7" t="s">
        <v>738</v>
      </c>
      <c r="N460" s="7" t="s">
        <v>117</v>
      </c>
    </row>
    <row r="461" spans="1:14" x14ac:dyDescent="0.25">
      <c r="A461" s="7" t="s">
        <v>178</v>
      </c>
      <c r="B461" s="7" t="s">
        <v>758</v>
      </c>
      <c r="C461" s="7" t="s">
        <v>121</v>
      </c>
      <c r="D461" s="7" t="s">
        <v>119</v>
      </c>
      <c r="E461" s="7" t="s">
        <v>759</v>
      </c>
      <c r="F461" s="48">
        <v>30</v>
      </c>
      <c r="G461" s="48">
        <v>18.5</v>
      </c>
      <c r="H461" s="48">
        <v>-555</v>
      </c>
      <c r="I461" s="48">
        <v>0</v>
      </c>
      <c r="J461" s="48">
        <v>-555</v>
      </c>
      <c r="K461" s="7" t="s">
        <v>104</v>
      </c>
      <c r="L461" s="7" t="s">
        <v>103</v>
      </c>
      <c r="M461" s="7" t="s">
        <v>738</v>
      </c>
      <c r="N461" s="7" t="s">
        <v>117</v>
      </c>
    </row>
    <row r="462" spans="1:14" x14ac:dyDescent="0.25">
      <c r="A462" s="7" t="s">
        <v>627</v>
      </c>
      <c r="B462" s="7" t="s">
        <v>760</v>
      </c>
      <c r="C462" s="7" t="s">
        <v>121</v>
      </c>
      <c r="D462" s="7" t="s">
        <v>87</v>
      </c>
      <c r="E462" s="7" t="s">
        <v>761</v>
      </c>
      <c r="F462" s="48">
        <v>100</v>
      </c>
      <c r="G462" s="48">
        <v>5.93</v>
      </c>
      <c r="H462" s="48">
        <v>-593</v>
      </c>
      <c r="I462" s="48">
        <v>-4.95</v>
      </c>
      <c r="J462" s="48">
        <v>-597.95000000000005</v>
      </c>
      <c r="K462" s="7" t="s">
        <v>104</v>
      </c>
      <c r="L462" s="7" t="s">
        <v>103</v>
      </c>
      <c r="M462" s="7" t="s">
        <v>738</v>
      </c>
      <c r="N462" s="7" t="s">
        <v>117</v>
      </c>
    </row>
    <row r="463" spans="1:14" x14ac:dyDescent="0.25">
      <c r="A463" s="7" t="s">
        <v>628</v>
      </c>
      <c r="B463" s="7" t="s">
        <v>762</v>
      </c>
      <c r="C463" s="7" t="s">
        <v>84</v>
      </c>
      <c r="D463" s="7" t="s">
        <v>82</v>
      </c>
      <c r="E463" s="7" t="s">
        <v>763</v>
      </c>
      <c r="F463" s="48">
        <v>-50</v>
      </c>
      <c r="G463" s="48">
        <v>28.72</v>
      </c>
      <c r="H463" s="48">
        <v>1436</v>
      </c>
      <c r="I463" s="48">
        <v>-4.99</v>
      </c>
      <c r="J463" s="48">
        <v>1431.01</v>
      </c>
      <c r="K463" s="7" t="s">
        <v>104</v>
      </c>
      <c r="L463" s="7" t="s">
        <v>103</v>
      </c>
      <c r="M463" s="7" t="s">
        <v>738</v>
      </c>
      <c r="N463" s="7" t="s">
        <v>117</v>
      </c>
    </row>
    <row r="464" spans="1:14" x14ac:dyDescent="0.25">
      <c r="A464" s="7" t="s">
        <v>628</v>
      </c>
      <c r="B464" s="7" t="s">
        <v>762</v>
      </c>
      <c r="C464" s="7" t="s">
        <v>121</v>
      </c>
      <c r="D464" s="7" t="s">
        <v>82</v>
      </c>
      <c r="E464" s="7" t="s">
        <v>763</v>
      </c>
      <c r="F464" s="48">
        <v>50</v>
      </c>
      <c r="G464" s="48">
        <v>29.26</v>
      </c>
      <c r="H464" s="48">
        <v>-1463</v>
      </c>
      <c r="I464" s="48">
        <v>-4.95</v>
      </c>
      <c r="J464" s="48">
        <v>-1467.95</v>
      </c>
      <c r="K464" s="7" t="s">
        <v>104</v>
      </c>
      <c r="L464" s="7" t="s">
        <v>103</v>
      </c>
      <c r="M464" s="7" t="s">
        <v>738</v>
      </c>
      <c r="N464" s="7" t="s">
        <v>117</v>
      </c>
    </row>
    <row r="465" spans="1:14" x14ac:dyDescent="0.25">
      <c r="A465" s="7" t="s">
        <v>635</v>
      </c>
      <c r="B465" s="7" t="s">
        <v>764</v>
      </c>
      <c r="C465" s="7" t="s">
        <v>121</v>
      </c>
      <c r="D465" s="7" t="s">
        <v>108</v>
      </c>
      <c r="E465" s="7" t="s">
        <v>765</v>
      </c>
      <c r="F465" s="48">
        <v>30</v>
      </c>
      <c r="G465" s="48">
        <v>25.28</v>
      </c>
      <c r="H465" s="48">
        <v>-758.4</v>
      </c>
      <c r="I465" s="48">
        <v>-4.95</v>
      </c>
      <c r="J465" s="48">
        <v>-763.35</v>
      </c>
      <c r="K465" s="7" t="s">
        <v>104</v>
      </c>
      <c r="L465" s="7" t="s">
        <v>103</v>
      </c>
      <c r="M465" s="7" t="s">
        <v>738</v>
      </c>
      <c r="N465" s="7" t="s">
        <v>117</v>
      </c>
    </row>
    <row r="466" spans="1:14" x14ac:dyDescent="0.25">
      <c r="A466" s="7" t="s">
        <v>636</v>
      </c>
      <c r="B466" s="7" t="s">
        <v>766</v>
      </c>
      <c r="C466" s="7" t="s">
        <v>121</v>
      </c>
      <c r="D466" s="7" t="s">
        <v>107</v>
      </c>
      <c r="E466" s="7" t="s">
        <v>748</v>
      </c>
      <c r="F466" s="48">
        <v>20</v>
      </c>
      <c r="G466" s="48">
        <v>35.9</v>
      </c>
      <c r="H466" s="48">
        <v>-718</v>
      </c>
      <c r="I466" s="48">
        <v>-4.95</v>
      </c>
      <c r="J466" s="48">
        <v>-722.95</v>
      </c>
      <c r="K466" s="7" t="s">
        <v>104</v>
      </c>
      <c r="L466" s="7" t="s">
        <v>103</v>
      </c>
      <c r="M466" s="7" t="s">
        <v>738</v>
      </c>
      <c r="N466" s="7" t="s">
        <v>117</v>
      </c>
    </row>
    <row r="467" spans="1:14" x14ac:dyDescent="0.25">
      <c r="A467" s="7" t="s">
        <v>637</v>
      </c>
      <c r="B467" s="7" t="s">
        <v>767</v>
      </c>
      <c r="C467" s="7" t="s">
        <v>121</v>
      </c>
      <c r="D467" s="7" t="s">
        <v>109</v>
      </c>
      <c r="E467" s="7" t="s">
        <v>768</v>
      </c>
      <c r="F467" s="48">
        <v>200</v>
      </c>
      <c r="G467" s="48">
        <v>5.2</v>
      </c>
      <c r="H467" s="48">
        <v>-1040</v>
      </c>
      <c r="I467" s="48">
        <v>0</v>
      </c>
      <c r="J467" s="48">
        <v>-1040</v>
      </c>
      <c r="K467" s="7" t="s">
        <v>104</v>
      </c>
      <c r="L467" s="7" t="s">
        <v>103</v>
      </c>
      <c r="M467" s="7" t="s">
        <v>738</v>
      </c>
      <c r="N467" s="7" t="s">
        <v>117</v>
      </c>
    </row>
    <row r="468" spans="1:14" x14ac:dyDescent="0.25">
      <c r="A468" s="7" t="s">
        <v>241</v>
      </c>
      <c r="B468" s="7" t="s">
        <v>769</v>
      </c>
      <c r="C468" s="7" t="s">
        <v>121</v>
      </c>
      <c r="D468" s="7" t="s">
        <v>108</v>
      </c>
      <c r="E468" s="7" t="s">
        <v>765</v>
      </c>
      <c r="F468" s="48">
        <v>40</v>
      </c>
      <c r="G468" s="48">
        <v>29.37</v>
      </c>
      <c r="H468" s="48">
        <v>-1174.8</v>
      </c>
      <c r="I468" s="48">
        <v>-4.95</v>
      </c>
      <c r="J468" s="48">
        <v>-1179.75</v>
      </c>
      <c r="K468" s="7" t="s">
        <v>104</v>
      </c>
      <c r="L468" s="7" t="s">
        <v>103</v>
      </c>
      <c r="M468" s="7" t="s">
        <v>738</v>
      </c>
      <c r="N468" s="7" t="s">
        <v>117</v>
      </c>
    </row>
    <row r="469" spans="1:14" x14ac:dyDescent="0.25">
      <c r="A469" s="7" t="s">
        <v>770</v>
      </c>
      <c r="B469" s="7" t="s">
        <v>275</v>
      </c>
      <c r="C469" s="7" t="s">
        <v>121</v>
      </c>
      <c r="D469" s="7" t="s">
        <v>105</v>
      </c>
      <c r="E469" s="7" t="s">
        <v>771</v>
      </c>
      <c r="F469" s="48">
        <v>15</v>
      </c>
      <c r="G469" s="48">
        <v>46.56</v>
      </c>
      <c r="H469" s="48">
        <v>-698.4</v>
      </c>
      <c r="I469" s="48">
        <v>-4.95</v>
      </c>
      <c r="J469" s="48">
        <v>-703.35</v>
      </c>
      <c r="K469" s="7" t="s">
        <v>104</v>
      </c>
      <c r="L469" s="7" t="s">
        <v>103</v>
      </c>
      <c r="M469" s="7" t="s">
        <v>738</v>
      </c>
      <c r="N469" s="7" t="s">
        <v>117</v>
      </c>
    </row>
    <row r="470" spans="1:14" x14ac:dyDescent="0.25">
      <c r="A470" s="7" t="s">
        <v>772</v>
      </c>
      <c r="B470" s="7" t="s">
        <v>773</v>
      </c>
      <c r="C470" s="7" t="s">
        <v>121</v>
      </c>
      <c r="D470" s="7" t="s">
        <v>88</v>
      </c>
      <c r="E470" s="7" t="s">
        <v>774</v>
      </c>
      <c r="F470" s="48">
        <v>100</v>
      </c>
      <c r="G470" s="48">
        <v>7.62</v>
      </c>
      <c r="H470" s="48">
        <v>-762</v>
      </c>
      <c r="I470" s="48">
        <v>-4.95</v>
      </c>
      <c r="J470" s="48">
        <v>-766.95</v>
      </c>
      <c r="K470" s="7" t="s">
        <v>104</v>
      </c>
      <c r="L470" s="7" t="s">
        <v>103</v>
      </c>
      <c r="M470" s="7" t="s">
        <v>738</v>
      </c>
      <c r="N470" s="7" t="s">
        <v>117</v>
      </c>
    </row>
    <row r="471" spans="1:14" x14ac:dyDescent="0.25">
      <c r="A471" s="7" t="s">
        <v>775</v>
      </c>
      <c r="B471" s="7" t="s">
        <v>776</v>
      </c>
      <c r="C471" s="7" t="s">
        <v>121</v>
      </c>
      <c r="D471" s="7" t="s">
        <v>105</v>
      </c>
      <c r="E471" s="7" t="s">
        <v>771</v>
      </c>
      <c r="F471" s="48">
        <v>20</v>
      </c>
      <c r="G471" s="48">
        <v>47.9</v>
      </c>
      <c r="H471" s="48">
        <v>-958</v>
      </c>
      <c r="I471" s="48">
        <v>-4.95</v>
      </c>
      <c r="J471" s="48">
        <v>-962.95</v>
      </c>
      <c r="K471" s="7" t="s">
        <v>104</v>
      </c>
      <c r="L471" s="7" t="s">
        <v>103</v>
      </c>
      <c r="M471" s="7" t="s">
        <v>738</v>
      </c>
      <c r="N471" s="7" t="s">
        <v>117</v>
      </c>
    </row>
    <row r="472" spans="1:14" x14ac:dyDescent="0.25">
      <c r="A472" s="7" t="s">
        <v>777</v>
      </c>
      <c r="B472" s="7" t="s">
        <v>778</v>
      </c>
      <c r="C472" s="7" t="s">
        <v>121</v>
      </c>
      <c r="D472" s="7" t="s">
        <v>87</v>
      </c>
      <c r="E472" s="7" t="s">
        <v>761</v>
      </c>
      <c r="F472" s="48">
        <v>100</v>
      </c>
      <c r="G472" s="48">
        <v>8.69</v>
      </c>
      <c r="H472" s="48">
        <v>-869</v>
      </c>
      <c r="I472" s="48">
        <v>-4.95</v>
      </c>
      <c r="J472" s="48">
        <v>-873.95</v>
      </c>
      <c r="K472" s="7" t="s">
        <v>104</v>
      </c>
      <c r="L472" s="7" t="s">
        <v>103</v>
      </c>
      <c r="M472" s="7" t="s">
        <v>738</v>
      </c>
      <c r="N472" s="7" t="s">
        <v>117</v>
      </c>
    </row>
    <row r="473" spans="1:14" x14ac:dyDescent="0.25">
      <c r="A473" s="7" t="s">
        <v>779</v>
      </c>
      <c r="B473" s="7" t="s">
        <v>780</v>
      </c>
      <c r="C473" s="7" t="s">
        <v>84</v>
      </c>
      <c r="D473" s="7" t="s">
        <v>108</v>
      </c>
      <c r="E473" s="7" t="s">
        <v>765</v>
      </c>
      <c r="F473" s="48">
        <v>-20</v>
      </c>
      <c r="G473" s="48">
        <v>42</v>
      </c>
      <c r="H473" s="48">
        <v>840</v>
      </c>
      <c r="I473" s="48">
        <v>-4.97</v>
      </c>
      <c r="J473" s="48">
        <v>835.03</v>
      </c>
      <c r="K473" s="7" t="s">
        <v>104</v>
      </c>
      <c r="L473" s="7" t="s">
        <v>103</v>
      </c>
      <c r="M473" s="7" t="s">
        <v>738</v>
      </c>
      <c r="N473" s="7" t="s">
        <v>117</v>
      </c>
    </row>
    <row r="474" spans="1:14" x14ac:dyDescent="0.25">
      <c r="A474" s="7" t="s">
        <v>781</v>
      </c>
      <c r="B474" s="7" t="s">
        <v>782</v>
      </c>
      <c r="C474" s="7" t="s">
        <v>84</v>
      </c>
      <c r="D474" s="7" t="s">
        <v>783</v>
      </c>
      <c r="E474" s="7" t="s">
        <v>784</v>
      </c>
      <c r="F474" s="48">
        <v>-50</v>
      </c>
      <c r="G474" s="48">
        <v>26.33</v>
      </c>
      <c r="H474" s="48">
        <v>1316.5</v>
      </c>
      <c r="I474" s="48">
        <v>-5.12</v>
      </c>
      <c r="J474" s="48">
        <v>1311.38</v>
      </c>
      <c r="K474" s="7" t="s">
        <v>620</v>
      </c>
      <c r="L474" s="7" t="s">
        <v>103</v>
      </c>
      <c r="M474" s="7" t="s">
        <v>738</v>
      </c>
      <c r="N474" s="7" t="s">
        <v>117</v>
      </c>
    </row>
    <row r="475" spans="1:14" x14ac:dyDescent="0.25">
      <c r="A475" s="7" t="s">
        <v>785</v>
      </c>
      <c r="B475" s="7" t="s">
        <v>786</v>
      </c>
      <c r="C475" s="7" t="s">
        <v>121</v>
      </c>
      <c r="D475" s="7" t="s">
        <v>783</v>
      </c>
      <c r="E475" s="7" t="s">
        <v>784</v>
      </c>
      <c r="F475" s="48">
        <v>50</v>
      </c>
      <c r="G475" s="48">
        <v>24.98</v>
      </c>
      <c r="H475" s="48">
        <v>-1249</v>
      </c>
      <c r="I475" s="48">
        <v>-0.17</v>
      </c>
      <c r="J475" s="48">
        <v>-1249.17</v>
      </c>
      <c r="K475" s="7" t="s">
        <v>620</v>
      </c>
      <c r="L475" s="7" t="s">
        <v>103</v>
      </c>
      <c r="M475" s="7" t="s">
        <v>738</v>
      </c>
      <c r="N475" s="7" t="s">
        <v>117</v>
      </c>
    </row>
    <row r="476" spans="1:14" x14ac:dyDescent="0.25">
      <c r="A476" s="7" t="s">
        <v>787</v>
      </c>
      <c r="B476" s="7" t="s">
        <v>785</v>
      </c>
      <c r="C476" s="7" t="s">
        <v>84</v>
      </c>
      <c r="D476" s="7" t="s">
        <v>788</v>
      </c>
      <c r="E476" s="7" t="s">
        <v>789</v>
      </c>
      <c r="F476" s="48">
        <v>-71</v>
      </c>
      <c r="G476" s="48">
        <v>7.1</v>
      </c>
      <c r="H476" s="48">
        <v>504.1</v>
      </c>
      <c r="I476" s="48">
        <v>-4.96</v>
      </c>
      <c r="J476" s="48">
        <v>499.14</v>
      </c>
      <c r="K476" s="7" t="s">
        <v>104</v>
      </c>
      <c r="L476" s="7" t="s">
        <v>103</v>
      </c>
      <c r="M476" s="7" t="s">
        <v>738</v>
      </c>
      <c r="N476" s="7" t="s">
        <v>117</v>
      </c>
    </row>
    <row r="477" spans="1:14" x14ac:dyDescent="0.25">
      <c r="A477" s="7" t="s">
        <v>790</v>
      </c>
      <c r="B477" s="7" t="s">
        <v>791</v>
      </c>
      <c r="C477" s="7" t="s">
        <v>121</v>
      </c>
      <c r="D477" s="7" t="s">
        <v>110</v>
      </c>
      <c r="E477" s="7" t="s">
        <v>792</v>
      </c>
      <c r="F477" s="48">
        <v>15</v>
      </c>
      <c r="G477" s="48">
        <v>78.72</v>
      </c>
      <c r="H477" s="48">
        <v>-1180.8</v>
      </c>
      <c r="I477" s="48">
        <v>0</v>
      </c>
      <c r="J477" s="48">
        <v>-1180.8</v>
      </c>
      <c r="K477" s="7" t="s">
        <v>104</v>
      </c>
      <c r="L477" s="7" t="s">
        <v>103</v>
      </c>
      <c r="M477" s="7" t="s">
        <v>738</v>
      </c>
      <c r="N477" s="7" t="s">
        <v>117</v>
      </c>
    </row>
    <row r="478" spans="1:14" x14ac:dyDescent="0.25">
      <c r="A478" s="7" t="s">
        <v>790</v>
      </c>
      <c r="B478" s="7" t="s">
        <v>791</v>
      </c>
      <c r="C478" s="7" t="s">
        <v>84</v>
      </c>
      <c r="D478" s="7" t="s">
        <v>90</v>
      </c>
      <c r="E478" s="7" t="s">
        <v>757</v>
      </c>
      <c r="F478" s="48">
        <v>-10</v>
      </c>
      <c r="G478" s="48">
        <v>99</v>
      </c>
      <c r="H478" s="48">
        <v>990</v>
      </c>
      <c r="I478" s="48">
        <v>-4.97</v>
      </c>
      <c r="J478" s="48">
        <v>985.03</v>
      </c>
      <c r="K478" s="7" t="s">
        <v>104</v>
      </c>
      <c r="L478" s="7" t="s">
        <v>103</v>
      </c>
      <c r="M478" s="7" t="s">
        <v>738</v>
      </c>
      <c r="N478" s="7" t="s">
        <v>117</v>
      </c>
    </row>
    <row r="479" spans="1:14" x14ac:dyDescent="0.25">
      <c r="A479" s="7" t="s">
        <v>793</v>
      </c>
      <c r="B479" s="7" t="s">
        <v>794</v>
      </c>
      <c r="C479" s="7" t="s">
        <v>84</v>
      </c>
      <c r="D479" s="7" t="s">
        <v>795</v>
      </c>
      <c r="E479" s="7" t="s">
        <v>796</v>
      </c>
      <c r="F479" s="48">
        <v>-80</v>
      </c>
      <c r="G479" s="48">
        <v>4.3101000000000003</v>
      </c>
      <c r="H479" s="48">
        <v>344.81</v>
      </c>
      <c r="I479" s="48">
        <v>-4.96</v>
      </c>
      <c r="J479" s="48">
        <v>339.85</v>
      </c>
      <c r="K479" s="7" t="s">
        <v>104</v>
      </c>
      <c r="L479" s="7" t="s">
        <v>103</v>
      </c>
      <c r="M479" s="7" t="s">
        <v>738</v>
      </c>
      <c r="N479" s="7" t="s">
        <v>117</v>
      </c>
    </row>
    <row r="480" spans="1:14" x14ac:dyDescent="0.25">
      <c r="A480" s="7" t="s">
        <v>797</v>
      </c>
      <c r="B480" s="7" t="s">
        <v>363</v>
      </c>
      <c r="C480" s="7" t="s">
        <v>121</v>
      </c>
      <c r="D480" s="7" t="s">
        <v>108</v>
      </c>
      <c r="E480" s="7" t="s">
        <v>765</v>
      </c>
      <c r="F480" s="48">
        <v>20</v>
      </c>
      <c r="G480" s="48">
        <v>29</v>
      </c>
      <c r="H480" s="48">
        <v>-580</v>
      </c>
      <c r="I480" s="48">
        <v>-4.95</v>
      </c>
      <c r="J480" s="48">
        <v>-584.95000000000005</v>
      </c>
      <c r="K480" s="7" t="s">
        <v>104</v>
      </c>
      <c r="L480" s="7" t="s">
        <v>103</v>
      </c>
      <c r="M480" s="7" t="s">
        <v>738</v>
      </c>
      <c r="N480" s="7" t="s">
        <v>117</v>
      </c>
    </row>
    <row r="481" spans="1:14" x14ac:dyDescent="0.25">
      <c r="A481" s="7" t="s">
        <v>798</v>
      </c>
      <c r="B481" s="7" t="s">
        <v>530</v>
      </c>
      <c r="C481" s="7" t="s">
        <v>121</v>
      </c>
      <c r="D481" s="7" t="s">
        <v>788</v>
      </c>
      <c r="E481" s="7" t="s">
        <v>789</v>
      </c>
      <c r="F481" s="48">
        <v>34</v>
      </c>
      <c r="G481" s="48">
        <v>10.9</v>
      </c>
      <c r="H481" s="48">
        <v>-370.6</v>
      </c>
      <c r="I481" s="48">
        <v>-4.95</v>
      </c>
      <c r="J481" s="48">
        <v>-375.55</v>
      </c>
      <c r="K481" s="7" t="s">
        <v>104</v>
      </c>
      <c r="L481" s="7" t="s">
        <v>103</v>
      </c>
      <c r="M481" s="7" t="s">
        <v>738</v>
      </c>
      <c r="N481" s="7" t="s">
        <v>117</v>
      </c>
    </row>
    <row r="482" spans="1:14" x14ac:dyDescent="0.25">
      <c r="A482" s="7" t="s">
        <v>799</v>
      </c>
      <c r="B482" s="7" t="s">
        <v>800</v>
      </c>
      <c r="C482" s="7" t="s">
        <v>121</v>
      </c>
      <c r="D482" s="7" t="s">
        <v>90</v>
      </c>
      <c r="E482" s="7" t="s">
        <v>757</v>
      </c>
      <c r="F482" s="48">
        <v>10</v>
      </c>
      <c r="G482" s="48">
        <v>86.559899999999999</v>
      </c>
      <c r="H482" s="48">
        <v>-865.6</v>
      </c>
      <c r="I482" s="48">
        <v>-4.95</v>
      </c>
      <c r="J482" s="48">
        <v>-870.55</v>
      </c>
      <c r="K482" s="7" t="s">
        <v>104</v>
      </c>
      <c r="L482" s="7" t="s">
        <v>103</v>
      </c>
      <c r="M482" s="7" t="s">
        <v>738</v>
      </c>
      <c r="N482" s="7" t="s">
        <v>117</v>
      </c>
    </row>
    <row r="483" spans="1:14" x14ac:dyDescent="0.25">
      <c r="A483" s="7" t="s">
        <v>801</v>
      </c>
      <c r="B483" s="7" t="s">
        <v>589</v>
      </c>
      <c r="C483" s="7" t="s">
        <v>84</v>
      </c>
      <c r="D483" s="7" t="s">
        <v>102</v>
      </c>
      <c r="E483" s="7" t="s">
        <v>802</v>
      </c>
      <c r="F483" s="48">
        <v>-100</v>
      </c>
      <c r="G483" s="48">
        <v>15.19</v>
      </c>
      <c r="H483" s="48">
        <v>1519</v>
      </c>
      <c r="I483" s="48">
        <v>-4.99</v>
      </c>
      <c r="J483" s="48">
        <v>1514.01</v>
      </c>
      <c r="K483" s="7" t="s">
        <v>104</v>
      </c>
      <c r="L483" s="7" t="s">
        <v>103</v>
      </c>
      <c r="M483" s="7" t="s">
        <v>738</v>
      </c>
      <c r="N483" s="7" t="s">
        <v>117</v>
      </c>
    </row>
    <row r="484" spans="1:14" x14ac:dyDescent="0.25">
      <c r="A484" s="7" t="s">
        <v>803</v>
      </c>
      <c r="B484" s="7" t="s">
        <v>804</v>
      </c>
      <c r="C484" s="7" t="s">
        <v>84</v>
      </c>
      <c r="D484" s="7" t="s">
        <v>102</v>
      </c>
      <c r="E484" s="7" t="s">
        <v>802</v>
      </c>
      <c r="F484" s="48">
        <v>-100</v>
      </c>
      <c r="G484" s="48">
        <v>13.1</v>
      </c>
      <c r="H484" s="48">
        <v>1310</v>
      </c>
      <c r="I484" s="48">
        <v>-4.9800000000000004</v>
      </c>
      <c r="J484" s="48">
        <v>1305.02</v>
      </c>
      <c r="K484" s="7" t="s">
        <v>104</v>
      </c>
      <c r="L484" s="7" t="s">
        <v>103</v>
      </c>
      <c r="M484" s="7" t="s">
        <v>738</v>
      </c>
      <c r="N484" s="7" t="s">
        <v>117</v>
      </c>
    </row>
    <row r="485" spans="1:14" x14ac:dyDescent="0.25">
      <c r="A485" s="7" t="s">
        <v>403</v>
      </c>
      <c r="B485" s="7" t="s">
        <v>805</v>
      </c>
      <c r="C485" s="7" t="s">
        <v>121</v>
      </c>
      <c r="D485" s="7" t="s">
        <v>788</v>
      </c>
      <c r="E485" s="7" t="s">
        <v>789</v>
      </c>
      <c r="F485" s="48">
        <v>37</v>
      </c>
      <c r="G485" s="48">
        <v>19.670000000000002</v>
      </c>
      <c r="H485" s="48">
        <v>-727.79</v>
      </c>
      <c r="I485" s="48">
        <v>-4.95</v>
      </c>
      <c r="J485" s="48">
        <v>-732.74</v>
      </c>
      <c r="K485" s="7" t="s">
        <v>104</v>
      </c>
      <c r="L485" s="7" t="s">
        <v>103</v>
      </c>
      <c r="M485" s="7" t="s">
        <v>738</v>
      </c>
      <c r="N485" s="7" t="s">
        <v>117</v>
      </c>
    </row>
    <row r="486" spans="1:14" x14ac:dyDescent="0.25">
      <c r="A486" s="7" t="s">
        <v>806</v>
      </c>
      <c r="B486" s="7" t="s">
        <v>807</v>
      </c>
      <c r="C486" s="7" t="s">
        <v>84</v>
      </c>
      <c r="D486" s="7" t="s">
        <v>102</v>
      </c>
      <c r="E486" s="7" t="s">
        <v>802</v>
      </c>
      <c r="F486" s="48">
        <v>-150</v>
      </c>
      <c r="G486" s="48">
        <v>7.2</v>
      </c>
      <c r="H486" s="48">
        <v>1080</v>
      </c>
      <c r="I486" s="48">
        <v>-4.9800000000000004</v>
      </c>
      <c r="J486" s="48">
        <v>1075.02</v>
      </c>
      <c r="K486" s="7" t="s">
        <v>104</v>
      </c>
      <c r="L486" s="7" t="s">
        <v>103</v>
      </c>
      <c r="M486" s="7" t="s">
        <v>738</v>
      </c>
      <c r="N486" s="7" t="s">
        <v>117</v>
      </c>
    </row>
    <row r="487" spans="1:14" x14ac:dyDescent="0.25">
      <c r="A487" s="7" t="s">
        <v>808</v>
      </c>
      <c r="B487" s="7" t="s">
        <v>809</v>
      </c>
      <c r="C487" s="7" t="s">
        <v>84</v>
      </c>
      <c r="D487" s="7" t="s">
        <v>810</v>
      </c>
      <c r="E487" s="7" t="s">
        <v>811</v>
      </c>
      <c r="F487" s="48">
        <v>-20</v>
      </c>
      <c r="G487" s="48">
        <v>17.399999999999999</v>
      </c>
      <c r="H487" s="48">
        <v>348</v>
      </c>
      <c r="I487" s="48">
        <v>-4.96</v>
      </c>
      <c r="J487" s="48">
        <v>343.04</v>
      </c>
      <c r="K487" s="7" t="s">
        <v>104</v>
      </c>
      <c r="L487" s="7" t="s">
        <v>103</v>
      </c>
      <c r="M487" s="7" t="s">
        <v>738</v>
      </c>
      <c r="N487" s="7" t="s">
        <v>117</v>
      </c>
    </row>
    <row r="488" spans="1:14" x14ac:dyDescent="0.25">
      <c r="A488" s="7" t="s">
        <v>644</v>
      </c>
      <c r="B488" s="7" t="s">
        <v>812</v>
      </c>
      <c r="C488" s="7" t="s">
        <v>121</v>
      </c>
      <c r="D488" s="7" t="s">
        <v>102</v>
      </c>
      <c r="E488" s="7" t="s">
        <v>802</v>
      </c>
      <c r="F488" s="48">
        <v>200</v>
      </c>
      <c r="G488" s="48">
        <v>1.95</v>
      </c>
      <c r="H488" s="48">
        <v>-390</v>
      </c>
      <c r="I488" s="48">
        <v>-4.95</v>
      </c>
      <c r="J488" s="48">
        <v>-394.95</v>
      </c>
      <c r="K488" s="7" t="s">
        <v>104</v>
      </c>
      <c r="L488" s="7" t="s">
        <v>103</v>
      </c>
      <c r="M488" s="7" t="s">
        <v>738</v>
      </c>
      <c r="N488" s="7" t="s">
        <v>117</v>
      </c>
    </row>
    <row r="489" spans="1:14" x14ac:dyDescent="0.25">
      <c r="A489" s="7" t="s">
        <v>813</v>
      </c>
      <c r="B489" s="7" t="s">
        <v>814</v>
      </c>
      <c r="C489" s="7" t="s">
        <v>84</v>
      </c>
      <c r="D489" s="7" t="s">
        <v>810</v>
      </c>
      <c r="E489" s="7" t="s">
        <v>815</v>
      </c>
      <c r="F489" s="48">
        <v>-200</v>
      </c>
      <c r="G489" s="48">
        <v>0.95</v>
      </c>
      <c r="H489" s="48">
        <v>190</v>
      </c>
      <c r="I489" s="48">
        <v>-4.96</v>
      </c>
      <c r="J489" s="48">
        <v>185.04</v>
      </c>
      <c r="K489" s="7" t="s">
        <v>104</v>
      </c>
      <c r="L489" s="7" t="s">
        <v>103</v>
      </c>
      <c r="M489" s="7" t="s">
        <v>738</v>
      </c>
      <c r="N489" s="7" t="s">
        <v>117</v>
      </c>
    </row>
    <row r="490" spans="1:14" x14ac:dyDescent="0.25">
      <c r="A490" s="7" t="s">
        <v>650</v>
      </c>
      <c r="B490" s="7" t="s">
        <v>813</v>
      </c>
      <c r="C490" s="7" t="s">
        <v>121</v>
      </c>
      <c r="D490" s="7" t="s">
        <v>90</v>
      </c>
      <c r="E490" s="7" t="s">
        <v>757</v>
      </c>
      <c r="F490" s="48">
        <v>10</v>
      </c>
      <c r="G490" s="48">
        <v>46.5</v>
      </c>
      <c r="H490" s="48">
        <v>-465</v>
      </c>
      <c r="I490" s="48">
        <v>-4.95</v>
      </c>
      <c r="J490" s="48">
        <v>-469.95</v>
      </c>
      <c r="K490" s="7" t="s">
        <v>104</v>
      </c>
      <c r="L490" s="7" t="s">
        <v>103</v>
      </c>
      <c r="M490" s="7" t="s">
        <v>738</v>
      </c>
      <c r="N490" s="7" t="s">
        <v>117</v>
      </c>
    </row>
    <row r="491" spans="1:14" x14ac:dyDescent="0.25">
      <c r="A491" s="7" t="s">
        <v>651</v>
      </c>
      <c r="B491" s="7" t="s">
        <v>650</v>
      </c>
      <c r="C491" s="7" t="s">
        <v>121</v>
      </c>
      <c r="D491" s="7" t="s">
        <v>795</v>
      </c>
      <c r="E491" s="7" t="s">
        <v>796</v>
      </c>
      <c r="F491" s="48">
        <v>20</v>
      </c>
      <c r="G491" s="48">
        <v>14.1</v>
      </c>
      <c r="H491" s="48">
        <v>-282</v>
      </c>
      <c r="I491" s="48">
        <v>-4.95</v>
      </c>
      <c r="J491" s="48">
        <v>-286.95</v>
      </c>
      <c r="K491" s="7" t="s">
        <v>104</v>
      </c>
      <c r="L491" s="7" t="s">
        <v>103</v>
      </c>
      <c r="M491" s="7" t="s">
        <v>738</v>
      </c>
      <c r="N491" s="7" t="s">
        <v>117</v>
      </c>
    </row>
    <row r="492" spans="1:14" x14ac:dyDescent="0.25">
      <c r="A492" s="7" t="s">
        <v>652</v>
      </c>
      <c r="B492" s="7" t="s">
        <v>816</v>
      </c>
      <c r="C492" s="7" t="s">
        <v>121</v>
      </c>
      <c r="D492" s="7" t="s">
        <v>88</v>
      </c>
      <c r="E492" s="7" t="s">
        <v>817</v>
      </c>
      <c r="F492" s="48">
        <v>40</v>
      </c>
      <c r="G492" s="48">
        <v>10</v>
      </c>
      <c r="H492" s="48">
        <v>-400</v>
      </c>
      <c r="I492" s="48">
        <v>-4.95</v>
      </c>
      <c r="J492" s="48">
        <v>-404.95</v>
      </c>
      <c r="K492" s="7" t="s">
        <v>104</v>
      </c>
      <c r="L492" s="7" t="s">
        <v>103</v>
      </c>
      <c r="M492" s="7" t="s">
        <v>738</v>
      </c>
      <c r="N492" s="7" t="s">
        <v>117</v>
      </c>
    </row>
    <row r="493" spans="1:14" x14ac:dyDescent="0.25">
      <c r="A493" s="7" t="s">
        <v>653</v>
      </c>
      <c r="B493" s="7" t="s">
        <v>434</v>
      </c>
      <c r="C493" s="7" t="s">
        <v>121</v>
      </c>
      <c r="D493" s="7" t="s">
        <v>818</v>
      </c>
      <c r="E493" s="7" t="s">
        <v>819</v>
      </c>
      <c r="F493" s="48">
        <v>25</v>
      </c>
      <c r="G493" s="48">
        <v>12.5</v>
      </c>
      <c r="H493" s="48">
        <v>-312.5</v>
      </c>
      <c r="I493" s="48">
        <v>-4.95</v>
      </c>
      <c r="J493" s="48">
        <v>-317.45</v>
      </c>
      <c r="K493" s="7" t="s">
        <v>104</v>
      </c>
      <c r="L493" s="7" t="s">
        <v>103</v>
      </c>
      <c r="M493" s="7" t="s">
        <v>738</v>
      </c>
      <c r="N493" s="7" t="s">
        <v>117</v>
      </c>
    </row>
    <row r="494" spans="1:14" x14ac:dyDescent="0.25">
      <c r="A494" s="7" t="s">
        <v>654</v>
      </c>
      <c r="B494" s="7" t="s">
        <v>651</v>
      </c>
      <c r="C494" s="7" t="s">
        <v>121</v>
      </c>
      <c r="D494" s="7" t="s">
        <v>108</v>
      </c>
      <c r="E494" s="7" t="s">
        <v>765</v>
      </c>
      <c r="F494" s="48">
        <v>20</v>
      </c>
      <c r="G494" s="48">
        <v>36.15</v>
      </c>
      <c r="H494" s="48">
        <v>-723</v>
      </c>
      <c r="I494" s="48">
        <v>-4.95</v>
      </c>
      <c r="J494" s="48">
        <v>-727.95</v>
      </c>
      <c r="K494" s="7" t="s">
        <v>104</v>
      </c>
      <c r="L494" s="7" t="s">
        <v>103</v>
      </c>
      <c r="M494" s="7" t="s">
        <v>738</v>
      </c>
      <c r="N494" s="7" t="s">
        <v>117</v>
      </c>
    </row>
    <row r="495" spans="1:14" x14ac:dyDescent="0.25">
      <c r="A495" s="7" t="s">
        <v>655</v>
      </c>
      <c r="B495" s="7" t="s">
        <v>820</v>
      </c>
      <c r="C495" s="7" t="s">
        <v>121</v>
      </c>
      <c r="D495" s="7" t="s">
        <v>810</v>
      </c>
      <c r="E495" s="7" t="s">
        <v>815</v>
      </c>
      <c r="F495" s="48">
        <v>400</v>
      </c>
      <c r="G495" s="48">
        <v>1.98</v>
      </c>
      <c r="H495" s="48">
        <v>-792</v>
      </c>
      <c r="I495" s="48">
        <v>-4.95</v>
      </c>
      <c r="J495" s="48">
        <v>-796.95</v>
      </c>
      <c r="K495" s="7" t="s">
        <v>104</v>
      </c>
      <c r="L495" s="7" t="s">
        <v>103</v>
      </c>
      <c r="M495" s="7" t="s">
        <v>738</v>
      </c>
      <c r="N495" s="7" t="s">
        <v>117</v>
      </c>
    </row>
    <row r="496" spans="1:14" x14ac:dyDescent="0.25">
      <c r="A496" s="7" t="s">
        <v>656</v>
      </c>
      <c r="B496" s="7" t="s">
        <v>821</v>
      </c>
      <c r="C496" s="7" t="s">
        <v>84</v>
      </c>
      <c r="D496" s="7" t="s">
        <v>822</v>
      </c>
      <c r="E496" s="7" t="s">
        <v>823</v>
      </c>
      <c r="F496" s="48">
        <v>-70</v>
      </c>
      <c r="G496" s="48">
        <v>9.25</v>
      </c>
      <c r="H496" s="48">
        <v>647.5</v>
      </c>
      <c r="I496" s="48">
        <v>-4.97</v>
      </c>
      <c r="J496" s="48">
        <v>642.53</v>
      </c>
      <c r="K496" s="7" t="s">
        <v>104</v>
      </c>
      <c r="L496" s="7" t="s">
        <v>103</v>
      </c>
      <c r="M496" s="7" t="s">
        <v>738</v>
      </c>
      <c r="N496" s="7" t="s">
        <v>117</v>
      </c>
    </row>
    <row r="497" spans="1:14" x14ac:dyDescent="0.25">
      <c r="A497" s="7" t="s">
        <v>658</v>
      </c>
      <c r="B497" s="7" t="s">
        <v>824</v>
      </c>
      <c r="C497" s="7" t="s">
        <v>121</v>
      </c>
      <c r="D497" s="7" t="s">
        <v>822</v>
      </c>
      <c r="E497" s="7" t="s">
        <v>823</v>
      </c>
      <c r="F497" s="48">
        <v>70</v>
      </c>
      <c r="G497" s="48">
        <v>7.5</v>
      </c>
      <c r="H497" s="48">
        <v>-525</v>
      </c>
      <c r="I497" s="48">
        <v>0</v>
      </c>
      <c r="J497" s="48">
        <v>-525</v>
      </c>
      <c r="K497" s="7" t="s">
        <v>104</v>
      </c>
      <c r="L497" s="7" t="s">
        <v>103</v>
      </c>
      <c r="M497" s="7" t="s">
        <v>738</v>
      </c>
      <c r="N497" s="7" t="s">
        <v>117</v>
      </c>
    </row>
    <row r="498" spans="1:14" x14ac:dyDescent="0.25">
      <c r="A498" s="7" t="s">
        <v>622</v>
      </c>
      <c r="B498" s="7" t="s">
        <v>741</v>
      </c>
      <c r="C498" s="7" t="s">
        <v>121</v>
      </c>
      <c r="D498" s="7" t="s">
        <v>102</v>
      </c>
      <c r="E498" s="7" t="s">
        <v>825</v>
      </c>
      <c r="F498" s="48">
        <v>200</v>
      </c>
      <c r="G498" s="48">
        <v>3.45</v>
      </c>
      <c r="H498" s="48">
        <v>-690</v>
      </c>
      <c r="I498" s="48">
        <v>-4.95</v>
      </c>
      <c r="J498" s="48">
        <v>-694.95</v>
      </c>
      <c r="K498" s="7" t="s">
        <v>104</v>
      </c>
      <c r="L498" s="7" t="s">
        <v>103</v>
      </c>
      <c r="M498" s="7" t="s">
        <v>738</v>
      </c>
      <c r="N498" s="7" t="s">
        <v>117</v>
      </c>
    </row>
    <row r="499" spans="1:14" x14ac:dyDescent="0.25">
      <c r="A499" s="7" t="s">
        <v>662</v>
      </c>
      <c r="B499" s="7" t="s">
        <v>661</v>
      </c>
      <c r="C499" s="7" t="s">
        <v>84</v>
      </c>
      <c r="D499" s="7" t="s">
        <v>108</v>
      </c>
      <c r="E499" s="7" t="s">
        <v>765</v>
      </c>
      <c r="F499" s="48">
        <v>-51</v>
      </c>
      <c r="G499" s="48">
        <v>50</v>
      </c>
      <c r="H499" s="48">
        <v>2550</v>
      </c>
      <c r="I499" s="48">
        <v>-5.01</v>
      </c>
      <c r="J499" s="48">
        <v>2544.9899999999998</v>
      </c>
      <c r="K499" s="7" t="s">
        <v>104</v>
      </c>
      <c r="L499" s="7" t="s">
        <v>103</v>
      </c>
      <c r="M499" s="7" t="s">
        <v>738</v>
      </c>
      <c r="N499" s="7" t="s">
        <v>117</v>
      </c>
    </row>
    <row r="500" spans="1:14" x14ac:dyDescent="0.25">
      <c r="A500" s="7" t="s">
        <v>663</v>
      </c>
      <c r="B500" s="7" t="s">
        <v>826</v>
      </c>
      <c r="C500" s="7" t="s">
        <v>84</v>
      </c>
      <c r="D500" s="7" t="s">
        <v>827</v>
      </c>
      <c r="E500" s="7" t="s">
        <v>828</v>
      </c>
      <c r="F500" s="48">
        <v>-20</v>
      </c>
      <c r="G500" s="48">
        <v>23.4</v>
      </c>
      <c r="H500" s="48">
        <v>468</v>
      </c>
      <c r="I500" s="48">
        <v>-4.97</v>
      </c>
      <c r="J500" s="48">
        <v>463.03</v>
      </c>
      <c r="K500" s="7" t="s">
        <v>104</v>
      </c>
      <c r="L500" s="7" t="s">
        <v>103</v>
      </c>
      <c r="M500" s="7" t="s">
        <v>738</v>
      </c>
      <c r="N500" s="7" t="s">
        <v>117</v>
      </c>
    </row>
    <row r="501" spans="1:14" x14ac:dyDescent="0.25">
      <c r="A501" s="7" t="s">
        <v>665</v>
      </c>
      <c r="B501" s="7" t="s">
        <v>829</v>
      </c>
      <c r="C501" s="7" t="s">
        <v>121</v>
      </c>
      <c r="D501" s="7" t="s">
        <v>108</v>
      </c>
      <c r="E501" s="7" t="s">
        <v>765</v>
      </c>
      <c r="F501" s="48">
        <v>31</v>
      </c>
      <c r="G501" s="48">
        <v>31.95</v>
      </c>
      <c r="H501" s="48">
        <v>-990.45</v>
      </c>
      <c r="I501" s="48">
        <v>-4.95</v>
      </c>
      <c r="J501" s="48">
        <v>-995.4</v>
      </c>
      <c r="K501" s="7" t="s">
        <v>104</v>
      </c>
      <c r="L501" s="7" t="s">
        <v>103</v>
      </c>
      <c r="M501" s="7" t="s">
        <v>738</v>
      </c>
      <c r="N501" s="7" t="s">
        <v>117</v>
      </c>
    </row>
    <row r="502" spans="1:14" x14ac:dyDescent="0.25">
      <c r="A502" s="7" t="s">
        <v>667</v>
      </c>
      <c r="B502" s="7" t="s">
        <v>830</v>
      </c>
      <c r="C502" s="7" t="s">
        <v>121</v>
      </c>
      <c r="D502" s="7" t="s">
        <v>108</v>
      </c>
      <c r="E502" s="7" t="s">
        <v>831</v>
      </c>
      <c r="F502" s="48">
        <v>20</v>
      </c>
      <c r="G502" s="48">
        <v>34.590000000000003</v>
      </c>
      <c r="H502" s="48">
        <v>-691.8</v>
      </c>
      <c r="I502" s="48">
        <v>-4.95</v>
      </c>
      <c r="J502" s="48">
        <v>-696.75</v>
      </c>
      <c r="K502" s="7" t="s">
        <v>104</v>
      </c>
      <c r="L502" s="7" t="s">
        <v>103</v>
      </c>
      <c r="M502" s="7" t="s">
        <v>738</v>
      </c>
      <c r="N502" s="7" t="s">
        <v>117</v>
      </c>
    </row>
    <row r="503" spans="1:14" x14ac:dyDescent="0.25">
      <c r="A503" s="7" t="s">
        <v>668</v>
      </c>
      <c r="B503" s="7" t="s">
        <v>832</v>
      </c>
      <c r="C503" s="7" t="s">
        <v>121</v>
      </c>
      <c r="D503" s="7" t="s">
        <v>107</v>
      </c>
      <c r="E503" s="7" t="s">
        <v>748</v>
      </c>
      <c r="F503" s="48">
        <v>20</v>
      </c>
      <c r="G503" s="48">
        <v>29.97</v>
      </c>
      <c r="H503" s="48">
        <v>-599.4</v>
      </c>
      <c r="I503" s="48">
        <v>-4.95</v>
      </c>
      <c r="J503" s="48">
        <v>-604.35</v>
      </c>
      <c r="K503" s="7" t="s">
        <v>104</v>
      </c>
      <c r="L503" s="7" t="s">
        <v>103</v>
      </c>
      <c r="M503" s="7" t="s">
        <v>738</v>
      </c>
      <c r="N503" s="7" t="s">
        <v>117</v>
      </c>
    </row>
    <row r="504" spans="1:14" x14ac:dyDescent="0.25">
      <c r="A504" s="7" t="s">
        <v>670</v>
      </c>
      <c r="B504" s="7" t="s">
        <v>833</v>
      </c>
      <c r="C504" s="7" t="s">
        <v>121</v>
      </c>
      <c r="D504" s="7" t="s">
        <v>827</v>
      </c>
      <c r="E504" s="7" t="s">
        <v>828</v>
      </c>
      <c r="F504" s="48">
        <v>20</v>
      </c>
      <c r="G504" s="48">
        <v>25</v>
      </c>
      <c r="H504" s="48">
        <v>-500</v>
      </c>
      <c r="I504" s="48">
        <v>0</v>
      </c>
      <c r="J504" s="48">
        <v>-500</v>
      </c>
      <c r="K504" s="7" t="s">
        <v>104</v>
      </c>
      <c r="L504" s="7" t="s">
        <v>103</v>
      </c>
      <c r="M504" s="7" t="s">
        <v>738</v>
      </c>
      <c r="N504" s="7" t="s">
        <v>117</v>
      </c>
    </row>
    <row r="505" spans="1:14" x14ac:dyDescent="0.25">
      <c r="A505" s="7" t="s">
        <v>671</v>
      </c>
      <c r="B505" s="7" t="s">
        <v>834</v>
      </c>
      <c r="C505" s="7" t="s">
        <v>84</v>
      </c>
      <c r="D505" s="7" t="s">
        <v>795</v>
      </c>
      <c r="E505" s="7" t="s">
        <v>796</v>
      </c>
      <c r="F505" s="48">
        <v>-40</v>
      </c>
      <c r="G505" s="48">
        <v>17.899999999999999</v>
      </c>
      <c r="H505" s="48">
        <v>716</v>
      </c>
      <c r="I505" s="48">
        <v>-4.97</v>
      </c>
      <c r="J505" s="48">
        <v>711.03</v>
      </c>
      <c r="K505" s="7" t="s">
        <v>104</v>
      </c>
      <c r="L505" s="7" t="s">
        <v>103</v>
      </c>
      <c r="M505" s="7" t="s">
        <v>738</v>
      </c>
      <c r="N505" s="7" t="s">
        <v>117</v>
      </c>
    </row>
    <row r="506" spans="1:14" x14ac:dyDescent="0.25">
      <c r="A506" s="7" t="s">
        <v>672</v>
      </c>
      <c r="B506" s="7" t="s">
        <v>671</v>
      </c>
      <c r="C506" s="7" t="s">
        <v>84</v>
      </c>
      <c r="D506" s="7" t="s">
        <v>835</v>
      </c>
      <c r="E506" s="7" t="s">
        <v>836</v>
      </c>
      <c r="F506" s="48">
        <v>-18</v>
      </c>
      <c r="G506" s="48">
        <v>43.3</v>
      </c>
      <c r="H506" s="48">
        <v>779.4</v>
      </c>
      <c r="I506" s="48">
        <v>-4.97</v>
      </c>
      <c r="J506" s="48">
        <v>774.43</v>
      </c>
      <c r="K506" s="7" t="s">
        <v>104</v>
      </c>
      <c r="L506" s="7" t="s">
        <v>103</v>
      </c>
      <c r="M506" s="7" t="s">
        <v>738</v>
      </c>
      <c r="N506" s="7" t="s">
        <v>117</v>
      </c>
    </row>
    <row r="507" spans="1:14" x14ac:dyDescent="0.25">
      <c r="A507" s="7" t="s">
        <v>673</v>
      </c>
      <c r="B507" s="7" t="s">
        <v>837</v>
      </c>
      <c r="C507" s="7" t="s">
        <v>121</v>
      </c>
      <c r="D507" s="7" t="s">
        <v>835</v>
      </c>
      <c r="E507" s="7" t="s">
        <v>836</v>
      </c>
      <c r="F507" s="48">
        <v>18</v>
      </c>
      <c r="G507" s="48">
        <v>45.7</v>
      </c>
      <c r="H507" s="48">
        <v>-822.6</v>
      </c>
      <c r="I507" s="48">
        <v>0</v>
      </c>
      <c r="J507" s="48">
        <v>-822.6</v>
      </c>
      <c r="K507" s="7" t="s">
        <v>104</v>
      </c>
      <c r="L507" s="7" t="s">
        <v>103</v>
      </c>
      <c r="M507" s="7" t="s">
        <v>738</v>
      </c>
      <c r="N507" s="7" t="s">
        <v>117</v>
      </c>
    </row>
    <row r="508" spans="1:14" x14ac:dyDescent="0.25">
      <c r="A508" s="7" t="s">
        <v>674</v>
      </c>
      <c r="B508" s="7" t="s">
        <v>838</v>
      </c>
      <c r="C508" s="7" t="s">
        <v>84</v>
      </c>
      <c r="D508" s="7" t="s">
        <v>82</v>
      </c>
      <c r="E508" s="7" t="s">
        <v>763</v>
      </c>
      <c r="F508" s="48">
        <v>-12</v>
      </c>
      <c r="G508" s="48">
        <v>48</v>
      </c>
      <c r="H508" s="48">
        <v>576</v>
      </c>
      <c r="I508" s="48">
        <v>-4.97</v>
      </c>
      <c r="J508" s="48">
        <v>571.03</v>
      </c>
      <c r="K508" s="7" t="s">
        <v>104</v>
      </c>
      <c r="L508" s="7" t="s">
        <v>103</v>
      </c>
      <c r="M508" s="7" t="s">
        <v>738</v>
      </c>
      <c r="N508" s="7" t="s">
        <v>117</v>
      </c>
    </row>
    <row r="509" spans="1:14" x14ac:dyDescent="0.25">
      <c r="A509" s="7" t="s">
        <v>676</v>
      </c>
      <c r="B509" s="7" t="s">
        <v>839</v>
      </c>
      <c r="C509" s="7" t="s">
        <v>121</v>
      </c>
      <c r="D509" s="7" t="s">
        <v>87</v>
      </c>
      <c r="E509" s="7" t="s">
        <v>740</v>
      </c>
      <c r="F509" s="48">
        <v>20</v>
      </c>
      <c r="G509" s="48">
        <v>26.319900000000001</v>
      </c>
      <c r="H509" s="48">
        <v>-526.4</v>
      </c>
      <c r="I509" s="48">
        <v>-4.95</v>
      </c>
      <c r="J509" s="48">
        <v>-531.35</v>
      </c>
      <c r="K509" s="7" t="s">
        <v>104</v>
      </c>
      <c r="L509" s="7" t="s">
        <v>103</v>
      </c>
      <c r="M509" s="7" t="s">
        <v>738</v>
      </c>
      <c r="N509" s="7" t="s">
        <v>117</v>
      </c>
    </row>
    <row r="510" spans="1:14" x14ac:dyDescent="0.25">
      <c r="A510" s="7" t="s">
        <v>677</v>
      </c>
      <c r="B510" s="7" t="s">
        <v>840</v>
      </c>
      <c r="C510" s="7" t="s">
        <v>84</v>
      </c>
      <c r="D510" s="7" t="s">
        <v>102</v>
      </c>
      <c r="E510" s="7" t="s">
        <v>825</v>
      </c>
      <c r="F510" s="48">
        <v>-100</v>
      </c>
      <c r="G510" s="48">
        <v>4.2</v>
      </c>
      <c r="H510" s="48">
        <v>420</v>
      </c>
      <c r="I510" s="48">
        <v>-4.96</v>
      </c>
      <c r="J510" s="48">
        <v>415.04</v>
      </c>
      <c r="K510" s="7" t="s">
        <v>104</v>
      </c>
      <c r="L510" s="7" t="s">
        <v>103</v>
      </c>
      <c r="M510" s="7" t="s">
        <v>738</v>
      </c>
      <c r="N510" s="7" t="s">
        <v>117</v>
      </c>
    </row>
    <row r="511" spans="1:14" x14ac:dyDescent="0.25">
      <c r="A511" s="7" t="s">
        <v>469</v>
      </c>
      <c r="B511" s="7" t="s">
        <v>841</v>
      </c>
      <c r="C511" s="7" t="s">
        <v>121</v>
      </c>
      <c r="D511" s="7" t="s">
        <v>795</v>
      </c>
      <c r="E511" s="7" t="s">
        <v>796</v>
      </c>
      <c r="F511" s="48">
        <v>40</v>
      </c>
      <c r="G511" s="48">
        <v>17.420000000000002</v>
      </c>
      <c r="H511" s="48">
        <v>-696.8</v>
      </c>
      <c r="I511" s="48">
        <v>-4.95</v>
      </c>
      <c r="J511" s="48">
        <v>-701.75</v>
      </c>
      <c r="K511" s="7" t="s">
        <v>104</v>
      </c>
      <c r="L511" s="7" t="s">
        <v>103</v>
      </c>
      <c r="M511" s="7" t="s">
        <v>738</v>
      </c>
      <c r="N511" s="7" t="s">
        <v>117</v>
      </c>
    </row>
    <row r="512" spans="1:14" x14ac:dyDescent="0.25">
      <c r="A512" s="7" t="s">
        <v>683</v>
      </c>
      <c r="B512" s="7" t="s">
        <v>842</v>
      </c>
      <c r="C512" s="7" t="s">
        <v>84</v>
      </c>
      <c r="D512" s="7" t="s">
        <v>843</v>
      </c>
      <c r="E512" s="7" t="s">
        <v>844</v>
      </c>
      <c r="F512" s="48">
        <v>-10</v>
      </c>
      <c r="G512" s="48">
        <v>21</v>
      </c>
      <c r="H512" s="48">
        <v>210</v>
      </c>
      <c r="I512" s="48">
        <v>-4.96</v>
      </c>
      <c r="J512" s="48">
        <v>205.04</v>
      </c>
      <c r="K512" s="7" t="s">
        <v>104</v>
      </c>
      <c r="L512" s="7" t="s">
        <v>103</v>
      </c>
      <c r="M512" s="7" t="s">
        <v>738</v>
      </c>
      <c r="N512" s="7" t="s">
        <v>117</v>
      </c>
    </row>
    <row r="513" spans="1:14" x14ac:dyDescent="0.25">
      <c r="A513" s="7" t="s">
        <v>684</v>
      </c>
      <c r="B513" s="7" t="s">
        <v>469</v>
      </c>
      <c r="C513" s="7" t="s">
        <v>121</v>
      </c>
      <c r="D513" s="7" t="s">
        <v>102</v>
      </c>
      <c r="E513" s="7" t="s">
        <v>825</v>
      </c>
      <c r="F513" s="48">
        <v>100</v>
      </c>
      <c r="G513" s="48">
        <v>3.2</v>
      </c>
      <c r="H513" s="48">
        <v>-320</v>
      </c>
      <c r="I513" s="48">
        <v>-4.95</v>
      </c>
      <c r="J513" s="48">
        <v>-324.95</v>
      </c>
      <c r="K513" s="7" t="s">
        <v>104</v>
      </c>
      <c r="L513" s="7" t="s">
        <v>103</v>
      </c>
      <c r="M513" s="7" t="s">
        <v>738</v>
      </c>
      <c r="N513" s="7" t="s">
        <v>117</v>
      </c>
    </row>
    <row r="514" spans="1:14" x14ac:dyDescent="0.25">
      <c r="A514" s="7" t="s">
        <v>685</v>
      </c>
      <c r="B514" s="7" t="s">
        <v>845</v>
      </c>
      <c r="C514" s="7" t="s">
        <v>121</v>
      </c>
      <c r="D514" s="7" t="s">
        <v>82</v>
      </c>
      <c r="E514" s="7" t="s">
        <v>763</v>
      </c>
      <c r="F514" s="48">
        <v>12</v>
      </c>
      <c r="G514" s="48">
        <v>39.950000000000003</v>
      </c>
      <c r="H514" s="48">
        <v>-479.4</v>
      </c>
      <c r="I514" s="48">
        <v>-4.95</v>
      </c>
      <c r="J514" s="48">
        <v>-484.35</v>
      </c>
      <c r="K514" s="7" t="s">
        <v>104</v>
      </c>
      <c r="L514" s="7" t="s">
        <v>103</v>
      </c>
      <c r="M514" s="7" t="s">
        <v>738</v>
      </c>
      <c r="N514" s="7" t="s">
        <v>117</v>
      </c>
    </row>
    <row r="515" spans="1:14" x14ac:dyDescent="0.25">
      <c r="A515" s="7" t="s">
        <v>686</v>
      </c>
      <c r="B515" s="7" t="s">
        <v>685</v>
      </c>
      <c r="C515" s="7" t="s">
        <v>121</v>
      </c>
      <c r="D515" s="7" t="s">
        <v>843</v>
      </c>
      <c r="E515" s="7" t="s">
        <v>844</v>
      </c>
      <c r="F515" s="48">
        <v>10</v>
      </c>
      <c r="G515" s="48">
        <v>18.600000000000001</v>
      </c>
      <c r="H515" s="48">
        <v>-186</v>
      </c>
      <c r="I515" s="48">
        <v>-4.95</v>
      </c>
      <c r="J515" s="48">
        <v>-190.95</v>
      </c>
      <c r="K515" s="7" t="s">
        <v>104</v>
      </c>
      <c r="L515" s="7" t="s">
        <v>103</v>
      </c>
      <c r="M515" s="7" t="s">
        <v>738</v>
      </c>
      <c r="N515" s="7" t="s">
        <v>117</v>
      </c>
    </row>
    <row r="516" spans="1:14" x14ac:dyDescent="0.25">
      <c r="A516" s="7" t="s">
        <v>686</v>
      </c>
      <c r="B516" s="7" t="s">
        <v>685</v>
      </c>
      <c r="C516" s="7" t="s">
        <v>84</v>
      </c>
      <c r="D516" s="7" t="s">
        <v>91</v>
      </c>
      <c r="E516" s="7" t="s">
        <v>846</v>
      </c>
      <c r="F516" s="48">
        <v>-60</v>
      </c>
      <c r="G516" s="48">
        <v>7.97</v>
      </c>
      <c r="H516" s="48">
        <v>478.2</v>
      </c>
      <c r="I516" s="48">
        <v>-4.96</v>
      </c>
      <c r="J516" s="48">
        <v>473.24</v>
      </c>
      <c r="K516" s="7" t="s">
        <v>104</v>
      </c>
      <c r="L516" s="7" t="s">
        <v>103</v>
      </c>
      <c r="M516" s="7" t="s">
        <v>738</v>
      </c>
      <c r="N516" s="7" t="s">
        <v>117</v>
      </c>
    </row>
    <row r="517" spans="1:14" x14ac:dyDescent="0.25">
      <c r="A517" s="7" t="s">
        <v>687</v>
      </c>
      <c r="B517" s="7" t="s">
        <v>847</v>
      </c>
      <c r="C517" s="7" t="s">
        <v>121</v>
      </c>
      <c r="D517" s="7" t="s">
        <v>91</v>
      </c>
      <c r="E517" s="7" t="s">
        <v>846</v>
      </c>
      <c r="F517" s="48">
        <v>60</v>
      </c>
      <c r="G517" s="48">
        <v>7.98</v>
      </c>
      <c r="H517" s="48">
        <v>-478.8</v>
      </c>
      <c r="I517" s="48">
        <v>-4.95</v>
      </c>
      <c r="J517" s="48">
        <v>-483.75</v>
      </c>
      <c r="K517" s="7" t="s">
        <v>104</v>
      </c>
      <c r="L517" s="7" t="s">
        <v>103</v>
      </c>
      <c r="M517" s="7" t="s">
        <v>738</v>
      </c>
      <c r="N517" s="7" t="s">
        <v>117</v>
      </c>
    </row>
    <row r="518" spans="1:14" x14ac:dyDescent="0.25">
      <c r="A518" s="7" t="s">
        <v>688</v>
      </c>
      <c r="B518" s="7" t="s">
        <v>848</v>
      </c>
      <c r="C518" s="7" t="s">
        <v>84</v>
      </c>
      <c r="D518" s="7" t="s">
        <v>849</v>
      </c>
      <c r="E518" s="7" t="s">
        <v>850</v>
      </c>
      <c r="F518" s="48">
        <v>-30</v>
      </c>
      <c r="G518" s="48">
        <v>15.12</v>
      </c>
      <c r="H518" s="48">
        <v>453.6</v>
      </c>
      <c r="I518" s="48">
        <v>-4.96</v>
      </c>
      <c r="J518" s="48">
        <v>448.64</v>
      </c>
      <c r="K518" s="7" t="s">
        <v>104</v>
      </c>
      <c r="L518" s="7" t="s">
        <v>103</v>
      </c>
      <c r="M518" s="7" t="s">
        <v>738</v>
      </c>
      <c r="N518" s="7" t="s">
        <v>117</v>
      </c>
    </row>
    <row r="519" spans="1:14" x14ac:dyDescent="0.25">
      <c r="A519" s="7" t="s">
        <v>688</v>
      </c>
      <c r="B519" s="7" t="s">
        <v>848</v>
      </c>
      <c r="C519" s="7" t="s">
        <v>121</v>
      </c>
      <c r="D519" s="7" t="s">
        <v>849</v>
      </c>
      <c r="E519" s="7" t="s">
        <v>850</v>
      </c>
      <c r="F519" s="48">
        <v>30</v>
      </c>
      <c r="G519" s="48">
        <v>15.2</v>
      </c>
      <c r="H519" s="48">
        <v>-456</v>
      </c>
      <c r="I519" s="48">
        <v>-4.95</v>
      </c>
      <c r="J519" s="48">
        <v>-460.95</v>
      </c>
      <c r="K519" s="7" t="s">
        <v>104</v>
      </c>
      <c r="L519" s="7" t="s">
        <v>103</v>
      </c>
      <c r="M519" s="7" t="s">
        <v>738</v>
      </c>
      <c r="N519" s="7" t="s">
        <v>117</v>
      </c>
    </row>
    <row r="520" spans="1:14" x14ac:dyDescent="0.25">
      <c r="A520" s="7" t="s">
        <v>690</v>
      </c>
      <c r="B520" s="7" t="s">
        <v>471</v>
      </c>
      <c r="C520" s="7" t="s">
        <v>121</v>
      </c>
      <c r="D520" s="7" t="s">
        <v>795</v>
      </c>
      <c r="E520" s="7" t="s">
        <v>851</v>
      </c>
      <c r="F520" s="48">
        <v>20</v>
      </c>
      <c r="G520" s="48">
        <v>19.940000000000001</v>
      </c>
      <c r="H520" s="48">
        <v>-398.8</v>
      </c>
      <c r="I520" s="48">
        <v>-4.95</v>
      </c>
      <c r="J520" s="48">
        <v>-403.75</v>
      </c>
      <c r="K520" s="7" t="s">
        <v>104</v>
      </c>
      <c r="L520" s="7" t="s">
        <v>103</v>
      </c>
      <c r="M520" s="7" t="s">
        <v>738</v>
      </c>
      <c r="N520" s="7" t="s">
        <v>117</v>
      </c>
    </row>
    <row r="521" spans="1:14" x14ac:dyDescent="0.25">
      <c r="A521" s="7" t="s">
        <v>693</v>
      </c>
      <c r="B521" s="7" t="s">
        <v>690</v>
      </c>
      <c r="C521" s="7" t="s">
        <v>84</v>
      </c>
      <c r="D521" s="7" t="s">
        <v>852</v>
      </c>
      <c r="E521" s="7" t="s">
        <v>853</v>
      </c>
      <c r="F521" s="48">
        <v>-25</v>
      </c>
      <c r="G521" s="48">
        <v>24.9801</v>
      </c>
      <c r="H521" s="48">
        <v>624.5</v>
      </c>
      <c r="I521" s="48">
        <v>-4.97</v>
      </c>
      <c r="J521" s="48">
        <v>619.53</v>
      </c>
      <c r="K521" s="7" t="s">
        <v>104</v>
      </c>
      <c r="L521" s="7" t="s">
        <v>103</v>
      </c>
      <c r="M521" s="7" t="s">
        <v>738</v>
      </c>
      <c r="N521" s="7" t="s">
        <v>117</v>
      </c>
    </row>
    <row r="522" spans="1:14" x14ac:dyDescent="0.25">
      <c r="A522" s="7" t="s">
        <v>693</v>
      </c>
      <c r="B522" s="7" t="s">
        <v>690</v>
      </c>
      <c r="C522" s="7" t="s">
        <v>121</v>
      </c>
      <c r="D522" s="7" t="s">
        <v>795</v>
      </c>
      <c r="E522" s="7" t="s">
        <v>796</v>
      </c>
      <c r="F522" s="48">
        <v>15</v>
      </c>
      <c r="G522" s="48">
        <v>20.350000000000001</v>
      </c>
      <c r="H522" s="48">
        <v>-305.25</v>
      </c>
      <c r="I522" s="48">
        <v>-4.95</v>
      </c>
      <c r="J522" s="48">
        <v>-310.2</v>
      </c>
      <c r="K522" s="7" t="s">
        <v>104</v>
      </c>
      <c r="L522" s="7" t="s">
        <v>103</v>
      </c>
      <c r="M522" s="7" t="s">
        <v>738</v>
      </c>
      <c r="N522" s="7" t="s">
        <v>117</v>
      </c>
    </row>
    <row r="523" spans="1:14" x14ac:dyDescent="0.25">
      <c r="A523" s="7" t="s">
        <v>698</v>
      </c>
      <c r="B523" s="7" t="s">
        <v>854</v>
      </c>
      <c r="C523" s="7" t="s">
        <v>121</v>
      </c>
      <c r="D523" s="7" t="s">
        <v>795</v>
      </c>
      <c r="E523" s="7" t="s">
        <v>796</v>
      </c>
      <c r="F523" s="48">
        <v>25</v>
      </c>
      <c r="G523" s="48">
        <v>22.8</v>
      </c>
      <c r="H523" s="48">
        <v>-570</v>
      </c>
      <c r="I523" s="48">
        <v>-4.95</v>
      </c>
      <c r="J523" s="48">
        <v>-574.95000000000005</v>
      </c>
      <c r="K523" s="7" t="s">
        <v>104</v>
      </c>
      <c r="L523" s="7" t="s">
        <v>103</v>
      </c>
      <c r="M523" s="7" t="s">
        <v>738</v>
      </c>
      <c r="N523" s="7" t="s">
        <v>117</v>
      </c>
    </row>
    <row r="524" spans="1:14" x14ac:dyDescent="0.25">
      <c r="A524" s="7" t="s">
        <v>700</v>
      </c>
      <c r="B524" s="7" t="s">
        <v>855</v>
      </c>
      <c r="C524" s="7" t="s">
        <v>121</v>
      </c>
      <c r="D524" s="7" t="s">
        <v>852</v>
      </c>
      <c r="E524" s="7" t="s">
        <v>853</v>
      </c>
      <c r="F524" s="48">
        <v>25</v>
      </c>
      <c r="G524" s="48">
        <v>20.509899999999998</v>
      </c>
      <c r="H524" s="48">
        <v>-512.75</v>
      </c>
      <c r="I524" s="48">
        <v>-4.95</v>
      </c>
      <c r="J524" s="48">
        <v>-517.70000000000005</v>
      </c>
      <c r="K524" s="7" t="s">
        <v>104</v>
      </c>
      <c r="L524" s="7" t="s">
        <v>103</v>
      </c>
      <c r="M524" s="7" t="s">
        <v>738</v>
      </c>
      <c r="N524" s="7" t="s">
        <v>117</v>
      </c>
    </row>
    <row r="525" spans="1:14" x14ac:dyDescent="0.25">
      <c r="A525" s="7" t="s">
        <v>702</v>
      </c>
      <c r="B525" s="7" t="s">
        <v>700</v>
      </c>
      <c r="C525" s="7" t="s">
        <v>121</v>
      </c>
      <c r="D525" s="7" t="s">
        <v>87</v>
      </c>
      <c r="E525" s="7" t="s">
        <v>740</v>
      </c>
      <c r="F525" s="48">
        <v>10</v>
      </c>
      <c r="G525" s="48">
        <v>23.5899</v>
      </c>
      <c r="H525" s="48">
        <v>-235.9</v>
      </c>
      <c r="I525" s="48">
        <v>-4.95</v>
      </c>
      <c r="J525" s="48">
        <v>-240.85</v>
      </c>
      <c r="K525" s="7" t="s">
        <v>104</v>
      </c>
      <c r="L525" s="7" t="s">
        <v>103</v>
      </c>
      <c r="M525" s="7" t="s">
        <v>738</v>
      </c>
      <c r="N525" s="7" t="s">
        <v>117</v>
      </c>
    </row>
    <row r="526" spans="1:14" x14ac:dyDescent="0.25">
      <c r="A526" s="7" t="s">
        <v>856</v>
      </c>
      <c r="B526" s="7" t="s">
        <v>857</v>
      </c>
      <c r="C526" s="7" t="s">
        <v>84</v>
      </c>
      <c r="D526" s="7" t="s">
        <v>858</v>
      </c>
      <c r="E526" s="7" t="s">
        <v>859</v>
      </c>
      <c r="F526" s="48">
        <v>-33</v>
      </c>
      <c r="G526" s="48">
        <v>8.06</v>
      </c>
      <c r="H526" s="48">
        <v>-7.9228162514264302E+28</v>
      </c>
      <c r="I526" s="48">
        <v>-5.07</v>
      </c>
      <c r="J526" s="48">
        <v>260.91000000000003</v>
      </c>
      <c r="K526" s="7" t="s">
        <v>620</v>
      </c>
      <c r="L526" s="7" t="s">
        <v>478</v>
      </c>
      <c r="M526" s="7" t="s">
        <v>738</v>
      </c>
      <c r="N526" s="7" t="s">
        <v>117</v>
      </c>
    </row>
    <row r="527" spans="1:14" x14ac:dyDescent="0.25">
      <c r="A527" s="7" t="s">
        <v>860</v>
      </c>
      <c r="B527" s="7" t="s">
        <v>861</v>
      </c>
      <c r="C527" s="7" t="s">
        <v>84</v>
      </c>
      <c r="D527" s="7" t="s">
        <v>858</v>
      </c>
      <c r="E527" s="7" t="s">
        <v>859</v>
      </c>
      <c r="F527" s="48">
        <v>-30</v>
      </c>
      <c r="G527" s="48">
        <v>9.31</v>
      </c>
      <c r="H527" s="48">
        <v>-7.9228162514264302E+28</v>
      </c>
      <c r="I527" s="48">
        <v>-5.0599999999999996</v>
      </c>
      <c r="J527" s="48">
        <v>274.24</v>
      </c>
      <c r="K527" s="7" t="s">
        <v>620</v>
      </c>
      <c r="L527" s="7" t="s">
        <v>478</v>
      </c>
      <c r="M527" s="7" t="s">
        <v>738</v>
      </c>
      <c r="N527" s="7" t="s">
        <v>117</v>
      </c>
    </row>
    <row r="528" spans="1:14" x14ac:dyDescent="0.25">
      <c r="A528" s="7" t="s">
        <v>704</v>
      </c>
      <c r="B528" s="7" t="s">
        <v>862</v>
      </c>
      <c r="C528" s="7" t="s">
        <v>84</v>
      </c>
      <c r="D528" s="7" t="s">
        <v>863</v>
      </c>
      <c r="E528" s="7" t="s">
        <v>864</v>
      </c>
      <c r="F528" s="48">
        <v>-100</v>
      </c>
      <c r="G528" s="48">
        <v>1.01</v>
      </c>
      <c r="H528" s="48">
        <v>-7.9228162514264302E+28</v>
      </c>
      <c r="I528" s="48">
        <v>-4.96</v>
      </c>
      <c r="J528" s="48">
        <v>96.04</v>
      </c>
      <c r="K528" s="7" t="s">
        <v>104</v>
      </c>
      <c r="L528" s="7" t="s">
        <v>478</v>
      </c>
      <c r="M528" s="7" t="s">
        <v>738</v>
      </c>
      <c r="N528" s="7" t="s">
        <v>117</v>
      </c>
    </row>
    <row r="529" spans="1:14" x14ac:dyDescent="0.25">
      <c r="A529" s="7" t="s">
        <v>708</v>
      </c>
      <c r="B529" s="7" t="s">
        <v>865</v>
      </c>
      <c r="C529" s="7" t="s">
        <v>121</v>
      </c>
      <c r="D529" s="7" t="s">
        <v>858</v>
      </c>
      <c r="E529" s="7" t="s">
        <v>866</v>
      </c>
      <c r="F529" s="48">
        <v>33</v>
      </c>
      <c r="G529" s="48">
        <v>16</v>
      </c>
      <c r="H529" s="48">
        <v>-7.9228162514264302E+28</v>
      </c>
      <c r="I529" s="48">
        <v>-5.07</v>
      </c>
      <c r="J529" s="48">
        <v>-533.07000000000005</v>
      </c>
      <c r="K529" s="7" t="s">
        <v>620</v>
      </c>
      <c r="L529" s="7" t="s">
        <v>478</v>
      </c>
      <c r="M529" s="7" t="s">
        <v>738</v>
      </c>
      <c r="N529" s="7" t="s">
        <v>117</v>
      </c>
    </row>
    <row r="530" spans="1:14" x14ac:dyDescent="0.25">
      <c r="A530" s="7" t="s">
        <v>709</v>
      </c>
      <c r="B530" s="7" t="s">
        <v>706</v>
      </c>
      <c r="C530" s="7" t="s">
        <v>84</v>
      </c>
      <c r="D530" s="7" t="s">
        <v>867</v>
      </c>
      <c r="E530" s="7" t="s">
        <v>868</v>
      </c>
      <c r="F530" s="48">
        <v>-70</v>
      </c>
      <c r="G530" s="48">
        <v>16.36</v>
      </c>
      <c r="H530" s="48">
        <v>-7.9228162514264302E+28</v>
      </c>
      <c r="I530" s="48">
        <v>-4.9800000000000004</v>
      </c>
      <c r="J530" s="48">
        <v>1140.22</v>
      </c>
      <c r="K530" s="7" t="s">
        <v>104</v>
      </c>
      <c r="L530" s="7" t="s">
        <v>478</v>
      </c>
      <c r="M530" s="7" t="s">
        <v>738</v>
      </c>
      <c r="N530" s="7" t="s">
        <v>117</v>
      </c>
    </row>
    <row r="531" spans="1:14" x14ac:dyDescent="0.25">
      <c r="A531" s="7" t="s">
        <v>869</v>
      </c>
      <c r="B531" s="7" t="s">
        <v>870</v>
      </c>
      <c r="C531" s="7" t="s">
        <v>121</v>
      </c>
      <c r="D531" s="7" t="s">
        <v>858</v>
      </c>
      <c r="E531" s="7" t="s">
        <v>871</v>
      </c>
      <c r="F531" s="48">
        <v>30</v>
      </c>
      <c r="G531" s="48">
        <v>16.690000000000001</v>
      </c>
      <c r="H531" s="48">
        <v>-7.9228162514264302E+28</v>
      </c>
      <c r="I531" s="48">
        <v>-4.95</v>
      </c>
      <c r="J531" s="48">
        <v>-505.75</v>
      </c>
      <c r="K531" s="7" t="s">
        <v>620</v>
      </c>
      <c r="L531" s="7" t="s">
        <v>478</v>
      </c>
      <c r="M531" s="7" t="s">
        <v>738</v>
      </c>
      <c r="N531" s="7" t="s">
        <v>117</v>
      </c>
    </row>
    <row r="532" spans="1:14" x14ac:dyDescent="0.25">
      <c r="A532" s="7" t="s">
        <v>710</v>
      </c>
      <c r="B532" s="7" t="s">
        <v>872</v>
      </c>
      <c r="C532" s="7" t="s">
        <v>84</v>
      </c>
      <c r="D532" s="7" t="s">
        <v>873</v>
      </c>
      <c r="E532" s="7" t="s">
        <v>874</v>
      </c>
      <c r="F532" s="48">
        <v>-125</v>
      </c>
      <c r="G532" s="48">
        <v>7.08</v>
      </c>
      <c r="H532" s="48">
        <v>-7.9228162514264302E+28</v>
      </c>
      <c r="I532" s="48">
        <v>-4.97</v>
      </c>
      <c r="J532" s="48">
        <v>880.03</v>
      </c>
      <c r="K532" s="7" t="s">
        <v>104</v>
      </c>
      <c r="L532" s="7" t="s">
        <v>478</v>
      </c>
      <c r="M532" s="7" t="s">
        <v>738</v>
      </c>
      <c r="N532" s="7" t="s">
        <v>117</v>
      </c>
    </row>
    <row r="533" spans="1:14" x14ac:dyDescent="0.25">
      <c r="A533" s="7" t="s">
        <v>713</v>
      </c>
      <c r="B533" s="7" t="s">
        <v>875</v>
      </c>
      <c r="C533" s="7" t="s">
        <v>84</v>
      </c>
      <c r="D533" s="7" t="s">
        <v>876</v>
      </c>
      <c r="E533" s="7" t="s">
        <v>877</v>
      </c>
      <c r="F533" s="48">
        <v>-140</v>
      </c>
      <c r="G533" s="48">
        <v>4.5999999999999996</v>
      </c>
      <c r="H533" s="48">
        <v>-7.9228162514264302E+28</v>
      </c>
      <c r="I533" s="48">
        <v>-4.97</v>
      </c>
      <c r="J533" s="48">
        <v>639.03</v>
      </c>
      <c r="K533" s="7" t="s">
        <v>104</v>
      </c>
      <c r="L533" s="7" t="s">
        <v>478</v>
      </c>
      <c r="M533" s="7" t="s">
        <v>738</v>
      </c>
      <c r="N533" s="7" t="s">
        <v>117</v>
      </c>
    </row>
    <row r="534" spans="1:14" x14ac:dyDescent="0.25">
      <c r="A534" s="7" t="s">
        <v>714</v>
      </c>
      <c r="B534" s="7" t="s">
        <v>878</v>
      </c>
      <c r="C534" s="7" t="s">
        <v>121</v>
      </c>
      <c r="D534" s="7" t="s">
        <v>873</v>
      </c>
      <c r="E534" s="7" t="s">
        <v>879</v>
      </c>
      <c r="F534" s="48">
        <v>125</v>
      </c>
      <c r="G534" s="48">
        <v>5.35</v>
      </c>
      <c r="H534" s="48">
        <v>-7.9228162514264302E+28</v>
      </c>
      <c r="I534" s="48">
        <v>-4.95</v>
      </c>
      <c r="J534" s="48">
        <v>-673.7</v>
      </c>
      <c r="K534" s="7" t="s">
        <v>104</v>
      </c>
      <c r="L534" s="7" t="s">
        <v>478</v>
      </c>
      <c r="M534" s="7" t="s">
        <v>738</v>
      </c>
      <c r="N534" s="7" t="s">
        <v>117</v>
      </c>
    </row>
    <row r="535" spans="1:14" x14ac:dyDescent="0.25">
      <c r="A535" s="7" t="s">
        <v>715</v>
      </c>
      <c r="B535" s="7" t="s">
        <v>714</v>
      </c>
      <c r="C535" s="7" t="s">
        <v>121</v>
      </c>
      <c r="D535" s="7" t="s">
        <v>867</v>
      </c>
      <c r="E535" s="7" t="s">
        <v>880</v>
      </c>
      <c r="F535" s="48">
        <v>70</v>
      </c>
      <c r="G535" s="48">
        <v>14.31</v>
      </c>
      <c r="H535" s="48">
        <v>-7.9228162514264302E+28</v>
      </c>
      <c r="I535" s="48">
        <v>-4.95</v>
      </c>
      <c r="J535" s="48">
        <v>-1006.65</v>
      </c>
      <c r="K535" s="7" t="s">
        <v>104</v>
      </c>
      <c r="L535" s="7" t="s">
        <v>478</v>
      </c>
      <c r="M535" s="7" t="s">
        <v>738</v>
      </c>
      <c r="N535" s="7" t="s">
        <v>117</v>
      </c>
    </row>
    <row r="536" spans="1:14" x14ac:dyDescent="0.25">
      <c r="A536" s="7" t="s">
        <v>881</v>
      </c>
      <c r="B536" s="7" t="s">
        <v>882</v>
      </c>
      <c r="C536" s="7" t="s">
        <v>84</v>
      </c>
      <c r="D536" s="7" t="s">
        <v>883</v>
      </c>
      <c r="E536" s="7" t="s">
        <v>884</v>
      </c>
      <c r="F536" s="48">
        <v>-240</v>
      </c>
      <c r="G536" s="48">
        <v>5.22</v>
      </c>
      <c r="H536" s="48">
        <v>-7.9228162514264302E+28</v>
      </c>
      <c r="I536" s="48">
        <v>-5.79</v>
      </c>
      <c r="J536" s="48">
        <v>1247.01</v>
      </c>
      <c r="K536" s="7" t="s">
        <v>620</v>
      </c>
      <c r="L536" s="7" t="s">
        <v>478</v>
      </c>
      <c r="M536" s="7" t="s">
        <v>738</v>
      </c>
      <c r="N536" s="7" t="s">
        <v>117</v>
      </c>
    </row>
    <row r="537" spans="1:14" x14ac:dyDescent="0.25">
      <c r="A537" s="7" t="s">
        <v>716</v>
      </c>
      <c r="B537" s="7" t="s">
        <v>881</v>
      </c>
      <c r="C537" s="7" t="s">
        <v>121</v>
      </c>
      <c r="D537" s="7" t="s">
        <v>876</v>
      </c>
      <c r="E537" s="7" t="s">
        <v>877</v>
      </c>
      <c r="F537" s="48">
        <v>140</v>
      </c>
      <c r="G537" s="48">
        <v>5.1680000000000001</v>
      </c>
      <c r="H537" s="48">
        <v>-7.9228162514264302E+28</v>
      </c>
      <c r="I537" s="48">
        <v>-4.95</v>
      </c>
      <c r="J537" s="48">
        <v>-728.47</v>
      </c>
      <c r="K537" s="7" t="s">
        <v>104</v>
      </c>
      <c r="L537" s="7" t="s">
        <v>478</v>
      </c>
      <c r="M537" s="7" t="s">
        <v>738</v>
      </c>
      <c r="N537" s="7" t="s">
        <v>117</v>
      </c>
    </row>
    <row r="538" spans="1:14" x14ac:dyDescent="0.25">
      <c r="A538" s="7" t="s">
        <v>717</v>
      </c>
      <c r="B538" s="7" t="s">
        <v>885</v>
      </c>
      <c r="C538" s="7" t="s">
        <v>84</v>
      </c>
      <c r="D538" s="7" t="s">
        <v>886</v>
      </c>
      <c r="E538" s="7" t="s">
        <v>887</v>
      </c>
      <c r="F538" s="48">
        <v>-200</v>
      </c>
      <c r="G538" s="48">
        <v>3.25</v>
      </c>
      <c r="H538" s="48">
        <v>-7.9228162514264302E+28</v>
      </c>
      <c r="I538" s="48">
        <v>-4.97</v>
      </c>
      <c r="J538" s="48">
        <v>645.03</v>
      </c>
      <c r="K538" s="7" t="s">
        <v>104</v>
      </c>
      <c r="L538" s="7" t="s">
        <v>478</v>
      </c>
      <c r="M538" s="7" t="s">
        <v>738</v>
      </c>
      <c r="N538" s="7" t="s">
        <v>117</v>
      </c>
    </row>
    <row r="539" spans="1:14" x14ac:dyDescent="0.25">
      <c r="A539" s="7" t="s">
        <v>888</v>
      </c>
      <c r="B539" s="7" t="s">
        <v>716</v>
      </c>
      <c r="C539" s="7" t="s">
        <v>121</v>
      </c>
      <c r="D539" s="7" t="s">
        <v>883</v>
      </c>
      <c r="E539" s="7" t="s">
        <v>884</v>
      </c>
      <c r="F539" s="48">
        <v>80</v>
      </c>
      <c r="G539" s="48">
        <v>6</v>
      </c>
      <c r="H539" s="48">
        <v>-7.9228162514264302E+28</v>
      </c>
      <c r="I539" s="48">
        <v>-5.23</v>
      </c>
      <c r="J539" s="48">
        <v>-485.23</v>
      </c>
      <c r="K539" s="7" t="s">
        <v>620</v>
      </c>
      <c r="L539" s="7" t="s">
        <v>478</v>
      </c>
      <c r="M539" s="7" t="s">
        <v>738</v>
      </c>
      <c r="N539" s="7" t="s">
        <v>117</v>
      </c>
    </row>
    <row r="540" spans="1:14" x14ac:dyDescent="0.25">
      <c r="A540" s="7" t="s">
        <v>718</v>
      </c>
      <c r="B540" s="7" t="s">
        <v>888</v>
      </c>
      <c r="C540" s="7" t="s">
        <v>121</v>
      </c>
      <c r="D540" s="7" t="s">
        <v>883</v>
      </c>
      <c r="E540" s="7" t="s">
        <v>884</v>
      </c>
      <c r="F540" s="48">
        <v>160</v>
      </c>
      <c r="G540" s="48">
        <v>6.38</v>
      </c>
      <c r="H540" s="48">
        <v>-7.9228162514264302E+28</v>
      </c>
      <c r="I540" s="48">
        <v>-5.51</v>
      </c>
      <c r="J540" s="48">
        <v>-1026.31</v>
      </c>
      <c r="K540" s="7" t="s">
        <v>620</v>
      </c>
      <c r="L540" s="7" t="s">
        <v>478</v>
      </c>
      <c r="M540" s="7" t="s">
        <v>738</v>
      </c>
      <c r="N540" s="7" t="s">
        <v>117</v>
      </c>
    </row>
    <row r="541" spans="1:14" x14ac:dyDescent="0.25">
      <c r="A541" s="7" t="s">
        <v>718</v>
      </c>
      <c r="B541" s="7" t="s">
        <v>888</v>
      </c>
      <c r="C541" s="7" t="s">
        <v>121</v>
      </c>
      <c r="D541" s="7" t="s">
        <v>886</v>
      </c>
      <c r="E541" s="7" t="s">
        <v>889</v>
      </c>
      <c r="F541" s="48">
        <v>200</v>
      </c>
      <c r="G541" s="48">
        <v>2.9580000000000002</v>
      </c>
      <c r="H541" s="48">
        <v>-7.9228162514264302E+28</v>
      </c>
      <c r="I541" s="48">
        <v>-4.95</v>
      </c>
      <c r="J541" s="48">
        <v>-596.54999999999995</v>
      </c>
      <c r="K541" s="7" t="s">
        <v>104</v>
      </c>
      <c r="L541" s="7" t="s">
        <v>478</v>
      </c>
      <c r="M541" s="7" t="s">
        <v>738</v>
      </c>
      <c r="N541" s="7" t="s">
        <v>117</v>
      </c>
    </row>
    <row r="542" spans="1:14" x14ac:dyDescent="0.25">
      <c r="A542" s="7" t="s">
        <v>719</v>
      </c>
      <c r="B542" s="7" t="s">
        <v>890</v>
      </c>
      <c r="C542" s="7" t="s">
        <v>84</v>
      </c>
      <c r="D542" s="7" t="s">
        <v>119</v>
      </c>
      <c r="E542" s="7" t="s">
        <v>891</v>
      </c>
      <c r="F542" s="48">
        <v>-62</v>
      </c>
      <c r="G542" s="48">
        <v>17.05</v>
      </c>
      <c r="H542" s="48">
        <v>-7.9228162514264302E+28</v>
      </c>
      <c r="I542" s="48">
        <v>-4.9800000000000004</v>
      </c>
      <c r="J542" s="48">
        <v>1052.1199999999999</v>
      </c>
      <c r="K542" s="7" t="s">
        <v>104</v>
      </c>
      <c r="L542" s="7" t="s">
        <v>478</v>
      </c>
      <c r="M542" s="7" t="s">
        <v>738</v>
      </c>
      <c r="N542" s="7" t="s">
        <v>117</v>
      </c>
    </row>
    <row r="543" spans="1:14" x14ac:dyDescent="0.25">
      <c r="A543" s="7" t="s">
        <v>720</v>
      </c>
      <c r="B543" s="7" t="s">
        <v>892</v>
      </c>
      <c r="C543" s="7" t="s">
        <v>84</v>
      </c>
      <c r="D543" s="7" t="s">
        <v>893</v>
      </c>
      <c r="E543" s="7" t="s">
        <v>894</v>
      </c>
      <c r="F543" s="48">
        <v>-170</v>
      </c>
      <c r="G543" s="48">
        <v>4.1319999999999997</v>
      </c>
      <c r="H543" s="48">
        <v>-7.9228162514264302E+28</v>
      </c>
      <c r="I543" s="48">
        <v>-4.97</v>
      </c>
      <c r="J543" s="48">
        <v>697.47</v>
      </c>
      <c r="K543" s="7" t="s">
        <v>104</v>
      </c>
      <c r="L543" s="7" t="s">
        <v>478</v>
      </c>
      <c r="M543" s="7" t="s">
        <v>738</v>
      </c>
      <c r="N543" s="7" t="s">
        <v>117</v>
      </c>
    </row>
    <row r="544" spans="1:14" x14ac:dyDescent="0.25">
      <c r="A544" s="7" t="s">
        <v>720</v>
      </c>
      <c r="B544" s="7" t="s">
        <v>892</v>
      </c>
      <c r="C544" s="7" t="s">
        <v>121</v>
      </c>
      <c r="D544" s="7" t="s">
        <v>893</v>
      </c>
      <c r="E544" s="7" t="s">
        <v>894</v>
      </c>
      <c r="F544" s="48">
        <v>170</v>
      </c>
      <c r="G544" s="48">
        <v>4.3680000000000003</v>
      </c>
      <c r="H544" s="48">
        <v>-7.9228162514264302E+28</v>
      </c>
      <c r="I544" s="48">
        <v>-4.95</v>
      </c>
      <c r="J544" s="48">
        <v>-747.51</v>
      </c>
      <c r="K544" s="7" t="s">
        <v>104</v>
      </c>
      <c r="L544" s="7" t="s">
        <v>478</v>
      </c>
      <c r="M544" s="7" t="s">
        <v>738</v>
      </c>
      <c r="N544" s="7" t="s">
        <v>117</v>
      </c>
    </row>
    <row r="545" spans="1:14" x14ac:dyDescent="0.25">
      <c r="A545" s="7" t="s">
        <v>721</v>
      </c>
      <c r="B545" s="7" t="s">
        <v>895</v>
      </c>
      <c r="C545" s="7" t="s">
        <v>84</v>
      </c>
      <c r="D545" s="7" t="s">
        <v>896</v>
      </c>
      <c r="E545" s="7" t="s">
        <v>897</v>
      </c>
      <c r="F545" s="48">
        <v>-16</v>
      </c>
      <c r="G545" s="48">
        <v>30.035</v>
      </c>
      <c r="H545" s="48">
        <v>-7.9228162514264302E+28</v>
      </c>
      <c r="I545" s="48">
        <v>-4.96</v>
      </c>
      <c r="J545" s="48">
        <v>475.6</v>
      </c>
      <c r="K545" s="7" t="s">
        <v>104</v>
      </c>
      <c r="L545" s="7" t="s">
        <v>478</v>
      </c>
      <c r="M545" s="7" t="s">
        <v>738</v>
      </c>
      <c r="N545" s="7" t="s">
        <v>117</v>
      </c>
    </row>
    <row r="546" spans="1:14" x14ac:dyDescent="0.25">
      <c r="A546" s="7" t="s">
        <v>721</v>
      </c>
      <c r="B546" s="7" t="s">
        <v>895</v>
      </c>
      <c r="C546" s="7" t="s">
        <v>84</v>
      </c>
      <c r="D546" s="7" t="s">
        <v>898</v>
      </c>
      <c r="E546" s="7" t="s">
        <v>899</v>
      </c>
      <c r="F546" s="48">
        <v>-160</v>
      </c>
      <c r="G546" s="48">
        <v>4.8499999999999996</v>
      </c>
      <c r="H546" s="48">
        <v>-7.9228162514264302E+28</v>
      </c>
      <c r="I546" s="48">
        <v>-4.97</v>
      </c>
      <c r="J546" s="48">
        <v>771.03</v>
      </c>
      <c r="K546" s="7" t="s">
        <v>104</v>
      </c>
      <c r="L546" s="7" t="s">
        <v>478</v>
      </c>
      <c r="M546" s="7" t="s">
        <v>738</v>
      </c>
      <c r="N546" s="7" t="s">
        <v>117</v>
      </c>
    </row>
    <row r="547" spans="1:14" x14ac:dyDescent="0.25">
      <c r="A547" s="7" t="s">
        <v>722</v>
      </c>
      <c r="B547" s="7" t="s">
        <v>720</v>
      </c>
      <c r="C547" s="7" t="s">
        <v>121</v>
      </c>
      <c r="D547" s="7" t="s">
        <v>898</v>
      </c>
      <c r="E547" s="7" t="s">
        <v>900</v>
      </c>
      <c r="F547" s="48">
        <v>80</v>
      </c>
      <c r="G547" s="48">
        <v>5.04</v>
      </c>
      <c r="H547" s="48">
        <v>-7.9228162514264302E+28</v>
      </c>
      <c r="I547" s="48">
        <v>-4.95</v>
      </c>
      <c r="J547" s="48">
        <v>-408.15</v>
      </c>
      <c r="K547" s="7" t="s">
        <v>104</v>
      </c>
      <c r="L547" s="7" t="s">
        <v>478</v>
      </c>
      <c r="M547" s="7" t="s">
        <v>738</v>
      </c>
      <c r="N547" s="7" t="s">
        <v>117</v>
      </c>
    </row>
    <row r="548" spans="1:14" x14ac:dyDescent="0.25">
      <c r="A548" s="7" t="s">
        <v>723</v>
      </c>
      <c r="B548" s="7" t="s">
        <v>722</v>
      </c>
      <c r="C548" s="7" t="s">
        <v>121</v>
      </c>
      <c r="D548" s="7" t="s">
        <v>898</v>
      </c>
      <c r="E548" s="7" t="s">
        <v>900</v>
      </c>
      <c r="F548" s="48">
        <v>80</v>
      </c>
      <c r="G548" s="48">
        <v>4.7</v>
      </c>
      <c r="H548" s="48">
        <v>-7.9228162514264302E+28</v>
      </c>
      <c r="I548" s="48">
        <v>-4.95</v>
      </c>
      <c r="J548" s="48">
        <v>-380.95</v>
      </c>
      <c r="K548" s="7" t="s">
        <v>104</v>
      </c>
      <c r="L548" s="7" t="s">
        <v>478</v>
      </c>
      <c r="M548" s="7" t="s">
        <v>738</v>
      </c>
      <c r="N548" s="7" t="s">
        <v>117</v>
      </c>
    </row>
    <row r="549" spans="1:14" x14ac:dyDescent="0.25">
      <c r="A549" s="7" t="s">
        <v>724</v>
      </c>
      <c r="B549" s="7" t="s">
        <v>901</v>
      </c>
      <c r="C549" s="7" t="s">
        <v>121</v>
      </c>
      <c r="D549" s="7" t="s">
        <v>119</v>
      </c>
      <c r="E549" s="7" t="s">
        <v>891</v>
      </c>
      <c r="F549" s="48">
        <v>62</v>
      </c>
      <c r="G549" s="48">
        <v>16.260000000000002</v>
      </c>
      <c r="H549" s="48">
        <v>-7.9228162514264302E+28</v>
      </c>
      <c r="I549" s="48">
        <v>-4.95</v>
      </c>
      <c r="J549" s="48">
        <v>-1013.07</v>
      </c>
      <c r="K549" s="7" t="s">
        <v>104</v>
      </c>
      <c r="L549" s="7" t="s">
        <v>478</v>
      </c>
      <c r="M549" s="7" t="s">
        <v>738</v>
      </c>
      <c r="N549" s="7" t="s">
        <v>117</v>
      </c>
    </row>
    <row r="550" spans="1:14" x14ac:dyDescent="0.25">
      <c r="A550" s="7" t="s">
        <v>725</v>
      </c>
      <c r="B550" s="7" t="s">
        <v>901</v>
      </c>
      <c r="C550" s="7" t="s">
        <v>84</v>
      </c>
      <c r="D550" s="7" t="s">
        <v>902</v>
      </c>
      <c r="E550" s="7" t="s">
        <v>903</v>
      </c>
      <c r="F550" s="48">
        <v>-600</v>
      </c>
      <c r="G550" s="48">
        <v>1.512</v>
      </c>
      <c r="H550" s="48">
        <v>-7.9228162514264302E+28</v>
      </c>
      <c r="I550" s="48">
        <v>-6.02</v>
      </c>
      <c r="J550" s="48">
        <v>901.18</v>
      </c>
      <c r="K550" s="7" t="s">
        <v>104</v>
      </c>
      <c r="L550" s="7" t="s">
        <v>478</v>
      </c>
      <c r="M550" s="7" t="s">
        <v>738</v>
      </c>
      <c r="N550" s="7" t="s">
        <v>117</v>
      </c>
    </row>
    <row r="551" spans="1:14" x14ac:dyDescent="0.25">
      <c r="A551" s="7" t="s">
        <v>725</v>
      </c>
      <c r="B551" s="7" t="s">
        <v>901</v>
      </c>
      <c r="C551" s="7" t="s">
        <v>121</v>
      </c>
      <c r="D551" s="7" t="s">
        <v>902</v>
      </c>
      <c r="E551" s="7" t="s">
        <v>903</v>
      </c>
      <c r="F551" s="48">
        <v>500</v>
      </c>
      <c r="G551" s="48">
        <v>1.5860000000000001</v>
      </c>
      <c r="H551" s="48">
        <v>-7.9228162514264302E+28</v>
      </c>
      <c r="I551" s="48">
        <v>-5</v>
      </c>
      <c r="J551" s="48">
        <v>-798</v>
      </c>
      <c r="K551" s="7" t="s">
        <v>104</v>
      </c>
      <c r="L551" s="7" t="s">
        <v>478</v>
      </c>
      <c r="M551" s="7" t="s">
        <v>738</v>
      </c>
      <c r="N551" s="7" t="s">
        <v>117</v>
      </c>
    </row>
    <row r="552" spans="1:14" x14ac:dyDescent="0.25">
      <c r="A552" s="7" t="s">
        <v>726</v>
      </c>
      <c r="B552" s="7" t="s">
        <v>723</v>
      </c>
      <c r="C552" s="7" t="s">
        <v>84</v>
      </c>
      <c r="D552" s="7" t="s">
        <v>873</v>
      </c>
      <c r="E552" s="7" t="s">
        <v>879</v>
      </c>
      <c r="F552" s="48">
        <v>-150</v>
      </c>
      <c r="G552" s="48">
        <v>5.952</v>
      </c>
      <c r="H552" s="48">
        <v>-7.9228162514264302E+28</v>
      </c>
      <c r="I552" s="48">
        <v>-4.97</v>
      </c>
      <c r="J552" s="48">
        <v>887.83</v>
      </c>
      <c r="K552" s="7" t="s">
        <v>104</v>
      </c>
      <c r="L552" s="7" t="s">
        <v>478</v>
      </c>
      <c r="M552" s="7" t="s">
        <v>738</v>
      </c>
      <c r="N552" s="7" t="s">
        <v>117</v>
      </c>
    </row>
    <row r="553" spans="1:14" x14ac:dyDescent="0.25">
      <c r="A553" s="7" t="s">
        <v>727</v>
      </c>
      <c r="B553" s="7" t="s">
        <v>725</v>
      </c>
      <c r="C553" s="7" t="s">
        <v>121</v>
      </c>
      <c r="D553" s="7" t="s">
        <v>873</v>
      </c>
      <c r="E553" s="7" t="s">
        <v>879</v>
      </c>
      <c r="F553" s="48">
        <v>150</v>
      </c>
      <c r="G553" s="48">
        <v>5.3289999999999997</v>
      </c>
      <c r="H553" s="48">
        <v>-7.9228162514264302E+28</v>
      </c>
      <c r="I553" s="48">
        <v>-4.95</v>
      </c>
      <c r="J553" s="48">
        <v>-804.3</v>
      </c>
      <c r="K553" s="7" t="s">
        <v>104</v>
      </c>
      <c r="L553" s="7" t="s">
        <v>478</v>
      </c>
      <c r="M553" s="7" t="s">
        <v>738</v>
      </c>
      <c r="N553" s="7" t="s">
        <v>117</v>
      </c>
    </row>
    <row r="554" spans="1:14" x14ac:dyDescent="0.25">
      <c r="A554" s="7" t="s">
        <v>728</v>
      </c>
      <c r="B554" s="7" t="s">
        <v>726</v>
      </c>
      <c r="C554" s="7" t="s">
        <v>84</v>
      </c>
      <c r="D554" s="7" t="s">
        <v>873</v>
      </c>
      <c r="E554" s="7" t="s">
        <v>879</v>
      </c>
      <c r="F554" s="48">
        <v>-150</v>
      </c>
      <c r="G554" s="48">
        <v>5.5209999999999999</v>
      </c>
      <c r="H554" s="48">
        <v>-7.9228162514264302E+28</v>
      </c>
      <c r="I554" s="48">
        <v>-4.97</v>
      </c>
      <c r="J554" s="48">
        <v>823.18</v>
      </c>
      <c r="K554" s="7" t="s">
        <v>104</v>
      </c>
      <c r="L554" s="7" t="s">
        <v>478</v>
      </c>
      <c r="M554" s="7" t="s">
        <v>738</v>
      </c>
      <c r="N554" s="7" t="s">
        <v>117</v>
      </c>
    </row>
    <row r="555" spans="1:14" x14ac:dyDescent="0.25">
      <c r="A555" s="7" t="s">
        <v>728</v>
      </c>
      <c r="B555" s="7" t="s">
        <v>726</v>
      </c>
      <c r="C555" s="7" t="s">
        <v>121</v>
      </c>
      <c r="D555" s="7" t="s">
        <v>873</v>
      </c>
      <c r="E555" s="7" t="s">
        <v>879</v>
      </c>
      <c r="F555" s="48">
        <v>150</v>
      </c>
      <c r="G555" s="48">
        <v>5.7489999999999997</v>
      </c>
      <c r="H555" s="48">
        <v>-7.9228162514264302E+28</v>
      </c>
      <c r="I555" s="48">
        <v>-4.95</v>
      </c>
      <c r="J555" s="48">
        <v>-867.3</v>
      </c>
      <c r="K555" s="7" t="s">
        <v>104</v>
      </c>
      <c r="L555" s="7" t="s">
        <v>478</v>
      </c>
      <c r="M555" s="7" t="s">
        <v>738</v>
      </c>
      <c r="N555" s="7" t="s">
        <v>117</v>
      </c>
    </row>
    <row r="556" spans="1:14" x14ac:dyDescent="0.25">
      <c r="A556" s="7" t="s">
        <v>729</v>
      </c>
      <c r="B556" s="7" t="s">
        <v>904</v>
      </c>
      <c r="C556" s="7" t="s">
        <v>84</v>
      </c>
      <c r="D556" s="7" t="s">
        <v>902</v>
      </c>
      <c r="E556" s="7" t="s">
        <v>903</v>
      </c>
      <c r="F556" s="48">
        <v>-350</v>
      </c>
      <c r="G556" s="48">
        <v>2.3820000000000001</v>
      </c>
      <c r="H556" s="48">
        <v>-7.9228162514264302E+28</v>
      </c>
      <c r="I556" s="48">
        <v>-4.97</v>
      </c>
      <c r="J556" s="48">
        <v>828.73</v>
      </c>
      <c r="K556" s="7" t="s">
        <v>104</v>
      </c>
      <c r="L556" s="7" t="s">
        <v>478</v>
      </c>
      <c r="M556" s="7" t="s">
        <v>738</v>
      </c>
      <c r="N556" s="7" t="s">
        <v>117</v>
      </c>
    </row>
    <row r="557" spans="1:14" x14ac:dyDescent="0.25">
      <c r="A557" s="7" t="s">
        <v>729</v>
      </c>
      <c r="B557" s="7" t="s">
        <v>904</v>
      </c>
      <c r="C557" s="7" t="s">
        <v>121</v>
      </c>
      <c r="D557" s="7" t="s">
        <v>902</v>
      </c>
      <c r="E557" s="7" t="s">
        <v>903</v>
      </c>
      <c r="F557" s="48">
        <v>350</v>
      </c>
      <c r="G557" s="48">
        <v>2.1880000000000002</v>
      </c>
      <c r="H557" s="48">
        <v>-7.9228162514264302E+28</v>
      </c>
      <c r="I557" s="48">
        <v>-4.95</v>
      </c>
      <c r="J557" s="48">
        <v>-770.75</v>
      </c>
      <c r="K557" s="7" t="s">
        <v>104</v>
      </c>
      <c r="L557" s="7" t="s">
        <v>478</v>
      </c>
      <c r="M557" s="7" t="s">
        <v>738</v>
      </c>
      <c r="N557" s="7" t="s">
        <v>117</v>
      </c>
    </row>
    <row r="558" spans="1:14" x14ac:dyDescent="0.25">
      <c r="A558" s="7" t="s">
        <v>730</v>
      </c>
      <c r="B558" s="7" t="s">
        <v>905</v>
      </c>
      <c r="C558" s="7" t="s">
        <v>84</v>
      </c>
      <c r="D558" s="7" t="s">
        <v>906</v>
      </c>
      <c r="E558" s="7" t="s">
        <v>907</v>
      </c>
      <c r="F558" s="48">
        <v>-70</v>
      </c>
      <c r="G558" s="48">
        <v>2.6</v>
      </c>
      <c r="H558" s="48">
        <v>-7.9228162514264302E+28</v>
      </c>
      <c r="I558" s="48">
        <v>-4.96</v>
      </c>
      <c r="J558" s="48">
        <v>177.04</v>
      </c>
      <c r="K558" s="7" t="s">
        <v>104</v>
      </c>
      <c r="L558" s="7" t="s">
        <v>478</v>
      </c>
      <c r="M558" s="7" t="s">
        <v>738</v>
      </c>
      <c r="N558" s="7" t="s">
        <v>117</v>
      </c>
    </row>
    <row r="559" spans="1:14" x14ac:dyDescent="0.25">
      <c r="A559" s="7" t="s">
        <v>730</v>
      </c>
      <c r="B559" s="7" t="s">
        <v>905</v>
      </c>
      <c r="C559" s="7" t="s">
        <v>84</v>
      </c>
      <c r="D559" s="7" t="s">
        <v>908</v>
      </c>
      <c r="E559" s="7" t="s">
        <v>909</v>
      </c>
      <c r="F559" s="48">
        <v>-30</v>
      </c>
      <c r="G559" s="48">
        <v>14.85</v>
      </c>
      <c r="H559" s="48">
        <v>-7.9228162514264302E+28</v>
      </c>
      <c r="I559" s="48">
        <v>-4.96</v>
      </c>
      <c r="J559" s="48">
        <v>440.54</v>
      </c>
      <c r="K559" s="7" t="s">
        <v>104</v>
      </c>
      <c r="L559" s="7" t="s">
        <v>478</v>
      </c>
      <c r="M559" s="7" t="s">
        <v>738</v>
      </c>
      <c r="N559" s="7" t="s">
        <v>117</v>
      </c>
    </row>
    <row r="560" spans="1:14" x14ac:dyDescent="0.25">
      <c r="A560" s="7" t="s">
        <v>730</v>
      </c>
      <c r="B560" s="7" t="s">
        <v>905</v>
      </c>
      <c r="C560" s="7" t="s">
        <v>121</v>
      </c>
      <c r="D560" s="7" t="s">
        <v>908</v>
      </c>
      <c r="E560" s="7" t="s">
        <v>909</v>
      </c>
      <c r="F560" s="48">
        <v>30</v>
      </c>
      <c r="G560" s="48">
        <v>14.65</v>
      </c>
      <c r="H560" s="48">
        <v>-7.9228162514264302E+28</v>
      </c>
      <c r="I560" s="48">
        <v>-4.95</v>
      </c>
      <c r="J560" s="48">
        <v>-444.45</v>
      </c>
      <c r="K560" s="7" t="s">
        <v>104</v>
      </c>
      <c r="L560" s="7" t="s">
        <v>478</v>
      </c>
      <c r="M560" s="7" t="s">
        <v>738</v>
      </c>
      <c r="N560" s="7" t="s">
        <v>117</v>
      </c>
    </row>
    <row r="561" spans="1:14" x14ac:dyDescent="0.25">
      <c r="A561" s="7" t="s">
        <v>732</v>
      </c>
      <c r="B561" s="7" t="s">
        <v>910</v>
      </c>
      <c r="C561" s="7" t="s">
        <v>84</v>
      </c>
      <c r="D561" s="7" t="s">
        <v>911</v>
      </c>
      <c r="E561" s="7" t="s">
        <v>912</v>
      </c>
      <c r="F561" s="48">
        <v>-1200</v>
      </c>
      <c r="G561" s="48">
        <v>0.23213</v>
      </c>
      <c r="H561" s="48">
        <v>-7.9228162514264302E+28</v>
      </c>
      <c r="I561" s="48">
        <v>-9.9600000000000009</v>
      </c>
      <c r="J561" s="48">
        <v>268.60000000000002</v>
      </c>
      <c r="K561" s="7" t="s">
        <v>104</v>
      </c>
      <c r="L561" s="7" t="s">
        <v>478</v>
      </c>
      <c r="M561" s="7" t="s">
        <v>738</v>
      </c>
      <c r="N561" s="7" t="s">
        <v>117</v>
      </c>
    </row>
    <row r="562" spans="1:14" x14ac:dyDescent="0.25">
      <c r="A562" s="7" t="s">
        <v>733</v>
      </c>
      <c r="B562" s="7" t="s">
        <v>913</v>
      </c>
      <c r="C562" s="7" t="s">
        <v>121</v>
      </c>
      <c r="D562" s="7" t="s">
        <v>896</v>
      </c>
      <c r="E562" s="7" t="s">
        <v>897</v>
      </c>
      <c r="F562" s="48">
        <v>16</v>
      </c>
      <c r="G562" s="48">
        <v>28.75</v>
      </c>
      <c r="H562" s="48">
        <v>-7.9228162514264302E+28</v>
      </c>
      <c r="I562" s="48">
        <v>-4.95</v>
      </c>
      <c r="J562" s="48">
        <v>-464.95</v>
      </c>
      <c r="K562" s="7" t="s">
        <v>104</v>
      </c>
      <c r="L562" s="7" t="s">
        <v>478</v>
      </c>
      <c r="M562" s="7" t="s">
        <v>738</v>
      </c>
      <c r="N562" s="7" t="s">
        <v>117</v>
      </c>
    </row>
    <row r="563" spans="1:14" x14ac:dyDescent="0.25">
      <c r="A563" s="7" t="s">
        <v>734</v>
      </c>
      <c r="B563" s="7" t="s">
        <v>914</v>
      </c>
      <c r="C563" s="7" t="s">
        <v>121</v>
      </c>
      <c r="D563" s="7" t="s">
        <v>863</v>
      </c>
      <c r="E563" s="7" t="s">
        <v>864</v>
      </c>
      <c r="F563" s="48">
        <v>70</v>
      </c>
      <c r="G563" s="48">
        <v>3.05</v>
      </c>
      <c r="H563" s="48">
        <v>-7.9228162514264302E+28</v>
      </c>
      <c r="I563" s="48">
        <v>-4.95</v>
      </c>
      <c r="J563" s="48">
        <v>-218.45</v>
      </c>
      <c r="K563" s="7" t="s">
        <v>104</v>
      </c>
      <c r="L563" s="7" t="s">
        <v>478</v>
      </c>
      <c r="M563" s="7" t="s">
        <v>738</v>
      </c>
      <c r="N563" s="7" t="s">
        <v>117</v>
      </c>
    </row>
    <row r="564" spans="1:14" x14ac:dyDescent="0.25">
      <c r="A564" s="7" t="s">
        <v>915</v>
      </c>
      <c r="B564" s="7" t="s">
        <v>916</v>
      </c>
      <c r="C564" s="7" t="s">
        <v>84</v>
      </c>
      <c r="D564" s="7" t="s">
        <v>906</v>
      </c>
      <c r="E564" s="7" t="s">
        <v>907</v>
      </c>
      <c r="F564" s="48">
        <v>-80</v>
      </c>
      <c r="G564" s="48">
        <v>2.8</v>
      </c>
      <c r="H564" s="48">
        <v>-7.9228162514264302E+28</v>
      </c>
      <c r="I564" s="48">
        <v>-4.96</v>
      </c>
      <c r="J564" s="48">
        <v>219.04</v>
      </c>
      <c r="K564" s="7" t="s">
        <v>104</v>
      </c>
      <c r="L564" s="7" t="s">
        <v>155</v>
      </c>
      <c r="M564" s="7" t="s">
        <v>738</v>
      </c>
      <c r="N564" s="7" t="s">
        <v>157</v>
      </c>
    </row>
    <row r="565" spans="1:14" x14ac:dyDescent="0.25">
      <c r="A565" s="7" t="s">
        <v>917</v>
      </c>
      <c r="B565" s="7" t="s">
        <v>158</v>
      </c>
      <c r="C565" s="7" t="s">
        <v>121</v>
      </c>
      <c r="D565" s="7" t="s">
        <v>911</v>
      </c>
      <c r="E565" s="7" t="s">
        <v>912</v>
      </c>
      <c r="F565" s="48">
        <v>700</v>
      </c>
      <c r="G565" s="48">
        <v>0.22420000000000001</v>
      </c>
      <c r="H565" s="48">
        <v>-7.9228162514264302E+28</v>
      </c>
      <c r="I565" s="48">
        <v>-7</v>
      </c>
      <c r="J565" s="48">
        <v>-163.94</v>
      </c>
      <c r="K565" s="7" t="s">
        <v>104</v>
      </c>
      <c r="L565" s="7" t="s">
        <v>155</v>
      </c>
      <c r="M565" s="7" t="s">
        <v>738</v>
      </c>
      <c r="N565" s="7" t="s">
        <v>157</v>
      </c>
    </row>
    <row r="566" spans="1:14" x14ac:dyDescent="0.25">
      <c r="A566" s="7" t="s">
        <v>918</v>
      </c>
      <c r="B566" s="7" t="s">
        <v>919</v>
      </c>
      <c r="C566" s="7" t="s">
        <v>121</v>
      </c>
      <c r="D566" s="7" t="s">
        <v>863</v>
      </c>
      <c r="E566" s="7" t="s">
        <v>864</v>
      </c>
      <c r="F566" s="48">
        <v>30</v>
      </c>
      <c r="G566" s="48">
        <v>3.29</v>
      </c>
      <c r="H566" s="48">
        <v>-7.9228162514264302E+28</v>
      </c>
      <c r="I566" s="48">
        <v>-4.95</v>
      </c>
      <c r="J566" s="48">
        <v>-103.65</v>
      </c>
      <c r="K566" s="7" t="s">
        <v>104</v>
      </c>
      <c r="L566" s="7" t="s">
        <v>155</v>
      </c>
      <c r="M566" s="7" t="s">
        <v>738</v>
      </c>
      <c r="N566" s="7" t="s">
        <v>157</v>
      </c>
    </row>
    <row r="567" spans="1:14" x14ac:dyDescent="0.25">
      <c r="A567" s="7" t="s">
        <v>920</v>
      </c>
      <c r="B567" s="7" t="s">
        <v>921</v>
      </c>
      <c r="C567" s="7" t="s">
        <v>84</v>
      </c>
      <c r="D567" s="7" t="s">
        <v>911</v>
      </c>
      <c r="E567" s="7" t="s">
        <v>922</v>
      </c>
      <c r="F567" s="48">
        <v>-150</v>
      </c>
      <c r="G567" s="48">
        <v>0.44</v>
      </c>
      <c r="H567" s="48">
        <v>-7.9228162514264302E+28</v>
      </c>
      <c r="I567" s="48">
        <v>-4.96</v>
      </c>
      <c r="J567" s="48">
        <v>61.04</v>
      </c>
      <c r="K567" s="7" t="s">
        <v>104</v>
      </c>
      <c r="L567" s="7" t="s">
        <v>155</v>
      </c>
      <c r="M567" s="7" t="s">
        <v>738</v>
      </c>
      <c r="N567" s="7" t="s">
        <v>157</v>
      </c>
    </row>
    <row r="568" spans="1:14" x14ac:dyDescent="0.25">
      <c r="A568" s="7" t="s">
        <v>920</v>
      </c>
      <c r="B568" s="7" t="s">
        <v>921</v>
      </c>
      <c r="C568" s="7" t="s">
        <v>121</v>
      </c>
      <c r="D568" s="7" t="s">
        <v>902</v>
      </c>
      <c r="E568" s="7" t="s">
        <v>903</v>
      </c>
      <c r="F568" s="48">
        <v>30</v>
      </c>
      <c r="G568" s="48">
        <v>4.72</v>
      </c>
      <c r="H568" s="48">
        <v>-7.9228162514264302E+28</v>
      </c>
      <c r="I568" s="48">
        <v>-4.95</v>
      </c>
      <c r="J568" s="48">
        <v>-146.55000000000001</v>
      </c>
      <c r="K568" s="7" t="s">
        <v>104</v>
      </c>
      <c r="L568" s="7" t="s">
        <v>155</v>
      </c>
      <c r="M568" s="7" t="s">
        <v>738</v>
      </c>
      <c r="N568" s="7" t="s">
        <v>157</v>
      </c>
    </row>
    <row r="569" spans="1:14" x14ac:dyDescent="0.25">
      <c r="A569" s="7" t="s">
        <v>923</v>
      </c>
      <c r="B569" s="7" t="s">
        <v>924</v>
      </c>
      <c r="C569" s="7" t="s">
        <v>84</v>
      </c>
      <c r="D569" s="7" t="s">
        <v>911</v>
      </c>
      <c r="E569" s="7" t="s">
        <v>922</v>
      </c>
      <c r="F569" s="48">
        <v>-50</v>
      </c>
      <c r="G569" s="48">
        <v>0.42199999999999999</v>
      </c>
      <c r="H569" s="48">
        <v>-7.9228162514264302E+28</v>
      </c>
      <c r="I569" s="48">
        <v>-4.96</v>
      </c>
      <c r="J569" s="48">
        <v>16.14</v>
      </c>
      <c r="K569" s="7" t="s">
        <v>104</v>
      </c>
      <c r="L569" s="7" t="s">
        <v>155</v>
      </c>
      <c r="M569" s="7" t="s">
        <v>738</v>
      </c>
      <c r="N569" s="7" t="s">
        <v>157</v>
      </c>
    </row>
    <row r="570" spans="1:14" x14ac:dyDescent="0.25">
      <c r="A570" s="7" t="s">
        <v>925</v>
      </c>
      <c r="B570" s="7" t="s">
        <v>926</v>
      </c>
      <c r="C570" s="7" t="s">
        <v>121</v>
      </c>
      <c r="D570" s="7" t="s">
        <v>906</v>
      </c>
      <c r="E570" s="7" t="s">
        <v>907</v>
      </c>
      <c r="F570" s="48">
        <v>150</v>
      </c>
      <c r="G570" s="48">
        <v>2.5</v>
      </c>
      <c r="H570" s="48">
        <v>-7.9228162514264302E+28</v>
      </c>
      <c r="I570" s="48">
        <v>-4.95</v>
      </c>
      <c r="J570" s="48">
        <v>-379.95</v>
      </c>
      <c r="K570" s="7" t="s">
        <v>104</v>
      </c>
      <c r="L570" s="7" t="s">
        <v>155</v>
      </c>
      <c r="M570" s="7" t="s">
        <v>738</v>
      </c>
      <c r="N570" s="7" t="s">
        <v>157</v>
      </c>
    </row>
    <row r="571" spans="1:14" x14ac:dyDescent="0.25">
      <c r="A571" s="7" t="s">
        <v>927</v>
      </c>
      <c r="B571" s="7" t="s">
        <v>928</v>
      </c>
      <c r="C571" s="7" t="s">
        <v>121</v>
      </c>
      <c r="D571" s="7" t="s">
        <v>911</v>
      </c>
      <c r="E571" s="7" t="s">
        <v>912</v>
      </c>
      <c r="F571" s="48">
        <v>700</v>
      </c>
      <c r="G571" s="48">
        <v>0.41885</v>
      </c>
      <c r="H571" s="48">
        <v>-7.9228162514264302E+28</v>
      </c>
      <c r="I571" s="48">
        <v>-9.9499999999999993</v>
      </c>
      <c r="J571" s="48">
        <v>-303.14999999999998</v>
      </c>
      <c r="K571" s="7" t="s">
        <v>104</v>
      </c>
      <c r="L571" s="7" t="s">
        <v>155</v>
      </c>
      <c r="M571" s="7" t="s">
        <v>738</v>
      </c>
      <c r="N571" s="7" t="s">
        <v>157</v>
      </c>
    </row>
    <row r="572" spans="1:14" x14ac:dyDescent="0.25">
      <c r="A572" s="7" t="s">
        <v>927</v>
      </c>
      <c r="B572" s="7" t="s">
        <v>928</v>
      </c>
      <c r="C572" s="7" t="s">
        <v>121</v>
      </c>
      <c r="D572" s="7" t="s">
        <v>902</v>
      </c>
      <c r="E572" s="7" t="s">
        <v>903</v>
      </c>
      <c r="F572" s="48">
        <v>70</v>
      </c>
      <c r="G572" s="48">
        <v>5.5</v>
      </c>
      <c r="H572" s="48">
        <v>-7.9228162514264302E+28</v>
      </c>
      <c r="I572" s="48">
        <v>-4.95</v>
      </c>
      <c r="J572" s="48">
        <v>-389.95</v>
      </c>
      <c r="K572" s="7" t="s">
        <v>104</v>
      </c>
      <c r="L572" s="7" t="s">
        <v>155</v>
      </c>
      <c r="M572" s="7" t="s">
        <v>738</v>
      </c>
      <c r="N572" s="7" t="s">
        <v>157</v>
      </c>
    </row>
  </sheetData>
  <autoFilter ref="A1:N572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"/>
  <sheetViews>
    <sheetView tabSelected="1" workbookViewId="0">
      <selection activeCell="A5" sqref="A5"/>
    </sheetView>
  </sheetViews>
  <sheetFormatPr defaultRowHeight="15" x14ac:dyDescent="0.25"/>
  <cols>
    <col min="2" max="2" width="9.140625" style="57"/>
    <col min="3" max="3" width="11" bestFit="1" customWidth="1"/>
    <col min="4" max="4" width="12.5703125" bestFit="1" customWidth="1"/>
    <col min="5" max="5" width="13.28515625" bestFit="1" customWidth="1"/>
  </cols>
  <sheetData>
    <row r="1" spans="1:5" x14ac:dyDescent="0.25">
      <c r="A1" t="s">
        <v>974</v>
      </c>
      <c r="B1" s="57" t="s">
        <v>6</v>
      </c>
      <c r="C1" t="s">
        <v>975</v>
      </c>
      <c r="D1" t="s">
        <v>976</v>
      </c>
      <c r="E1" t="s">
        <v>977</v>
      </c>
    </row>
    <row r="2" spans="1:5" x14ac:dyDescent="0.25">
      <c r="A2" t="s">
        <v>978</v>
      </c>
    </row>
    <row r="3" spans="1:5" x14ac:dyDescent="0.25">
      <c r="A3" t="s">
        <v>979</v>
      </c>
    </row>
    <row r="4" spans="1:5" x14ac:dyDescent="0.25">
      <c r="A4" t="s">
        <v>980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000"/>
  <sheetViews>
    <sheetView workbookViewId="0">
      <selection activeCell="C41" sqref="C41"/>
    </sheetView>
  </sheetViews>
  <sheetFormatPr defaultColWidth="14.42578125" defaultRowHeight="15" customHeight="1" x14ac:dyDescent="0.25"/>
  <cols>
    <col min="1" max="1" width="16.7109375" customWidth="1"/>
    <col min="2" max="2" width="15.7109375" customWidth="1"/>
    <col min="3" max="3" width="27.5703125" customWidth="1"/>
    <col min="4" max="4" width="70.5703125" customWidth="1"/>
    <col min="5" max="5" width="19.5703125" customWidth="1"/>
    <col min="6" max="6" width="8.7109375" customWidth="1"/>
    <col min="7" max="7" width="33.28515625" customWidth="1"/>
    <col min="8" max="26" width="8.7109375" customWidth="1"/>
  </cols>
  <sheetData>
    <row r="1" spans="1:7" x14ac:dyDescent="0.25"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5">
      <c r="A2" s="63" t="s">
        <v>0</v>
      </c>
      <c r="B2" t="s">
        <v>6</v>
      </c>
    </row>
    <row r="3" spans="1:7" x14ac:dyDescent="0.25">
      <c r="A3" s="64"/>
      <c r="B3" t="s">
        <v>7</v>
      </c>
    </row>
    <row r="4" spans="1:7" x14ac:dyDescent="0.25">
      <c r="A4" s="64"/>
      <c r="B4" t="s">
        <v>8</v>
      </c>
    </row>
    <row r="5" spans="1:7" x14ac:dyDescent="0.25">
      <c r="A5" s="64"/>
      <c r="B5" t="s">
        <v>9</v>
      </c>
    </row>
    <row r="6" spans="1:7" x14ac:dyDescent="0.25">
      <c r="A6" s="64"/>
      <c r="B6" t="s">
        <v>10</v>
      </c>
    </row>
    <row r="7" spans="1:7" x14ac:dyDescent="0.25">
      <c r="A7" s="64"/>
      <c r="B7" t="s">
        <v>11</v>
      </c>
      <c r="C7" t="s">
        <v>12</v>
      </c>
      <c r="D7" t="s">
        <v>13</v>
      </c>
      <c r="E7" t="s">
        <v>14</v>
      </c>
      <c r="G7" t="s">
        <v>15</v>
      </c>
    </row>
    <row r="8" spans="1:7" x14ac:dyDescent="0.25">
      <c r="A8" s="64"/>
      <c r="B8" t="s">
        <v>16</v>
      </c>
      <c r="D8" t="s">
        <v>17</v>
      </c>
    </row>
    <row r="9" spans="1:7" x14ac:dyDescent="0.25">
      <c r="A9" s="63" t="s">
        <v>18</v>
      </c>
      <c r="B9" s="1" t="s">
        <v>19</v>
      </c>
      <c r="C9" t="s">
        <v>20</v>
      </c>
      <c r="D9" t="s">
        <v>21</v>
      </c>
      <c r="E9" t="s">
        <v>22</v>
      </c>
    </row>
    <row r="10" spans="1:7" x14ac:dyDescent="0.25">
      <c r="A10" s="64"/>
      <c r="B10" s="1" t="s">
        <v>23</v>
      </c>
      <c r="D10" t="s">
        <v>24</v>
      </c>
    </row>
    <row r="11" spans="1:7" x14ac:dyDescent="0.25">
      <c r="A11" s="64"/>
      <c r="B11" s="1" t="s">
        <v>25</v>
      </c>
      <c r="D11" t="s">
        <v>26</v>
      </c>
    </row>
    <row r="12" spans="1:7" x14ac:dyDescent="0.25">
      <c r="A12" s="63" t="s">
        <v>27</v>
      </c>
      <c r="B12" t="s">
        <v>28</v>
      </c>
      <c r="C12" t="s">
        <v>29</v>
      </c>
      <c r="E12" t="s">
        <v>30</v>
      </c>
    </row>
    <row r="13" spans="1:7" x14ac:dyDescent="0.25">
      <c r="A13" s="64"/>
      <c r="B13" t="s">
        <v>31</v>
      </c>
      <c r="E13" t="s">
        <v>32</v>
      </c>
    </row>
    <row r="14" spans="1:7" x14ac:dyDescent="0.25">
      <c r="A14" s="64"/>
      <c r="B14" t="s">
        <v>33</v>
      </c>
      <c r="D14" t="s">
        <v>34</v>
      </c>
      <c r="F14" t="s">
        <v>35</v>
      </c>
    </row>
    <row r="15" spans="1:7" x14ac:dyDescent="0.25">
      <c r="A15" s="64"/>
      <c r="B15" t="s">
        <v>36</v>
      </c>
      <c r="D15" t="s">
        <v>37</v>
      </c>
    </row>
    <row r="16" spans="1:7" x14ac:dyDescent="0.25">
      <c r="A16" s="64"/>
      <c r="B16" t="s">
        <v>38</v>
      </c>
      <c r="C16" t="s">
        <v>39</v>
      </c>
      <c r="D16" t="s">
        <v>40</v>
      </c>
      <c r="F16" t="s">
        <v>41</v>
      </c>
    </row>
    <row r="17" spans="1:6" x14ac:dyDescent="0.25">
      <c r="A17" s="64"/>
      <c r="B17" t="s">
        <v>42</v>
      </c>
      <c r="D17" t="s">
        <v>43</v>
      </c>
      <c r="F17" t="s">
        <v>44</v>
      </c>
    </row>
    <row r="18" spans="1:6" x14ac:dyDescent="0.25">
      <c r="A18" s="64"/>
      <c r="B18" t="s">
        <v>45</v>
      </c>
      <c r="D18" t="s">
        <v>46</v>
      </c>
      <c r="F18" t="s">
        <v>47</v>
      </c>
    </row>
    <row r="19" spans="1:6" x14ac:dyDescent="0.25">
      <c r="A19" t="s">
        <v>48</v>
      </c>
      <c r="B19" t="s">
        <v>49</v>
      </c>
      <c r="D19" t="s">
        <v>50</v>
      </c>
      <c r="F19" t="s">
        <v>51</v>
      </c>
    </row>
    <row r="20" spans="1:6" x14ac:dyDescent="0.25">
      <c r="B20" t="s">
        <v>52</v>
      </c>
      <c r="D20" t="s">
        <v>53</v>
      </c>
      <c r="F20" t="s">
        <v>54</v>
      </c>
    </row>
    <row r="21" spans="1:6" ht="15.75" customHeight="1" x14ac:dyDescent="0.25">
      <c r="B21" t="s">
        <v>55</v>
      </c>
    </row>
    <row r="22" spans="1:6" ht="15.75" customHeight="1" x14ac:dyDescent="0.25">
      <c r="B22" t="s">
        <v>56</v>
      </c>
    </row>
    <row r="23" spans="1:6" ht="15.75" customHeight="1" x14ac:dyDescent="0.25">
      <c r="A23" t="s">
        <v>57</v>
      </c>
      <c r="B23" t="s">
        <v>58</v>
      </c>
    </row>
    <row r="24" spans="1:6" ht="15.75" customHeight="1" x14ac:dyDescent="0.25">
      <c r="B24" t="s">
        <v>59</v>
      </c>
    </row>
    <row r="25" spans="1:6" ht="15.75" customHeight="1" x14ac:dyDescent="0.25">
      <c r="B25" t="s">
        <v>60</v>
      </c>
    </row>
    <row r="26" spans="1:6" ht="15.75" customHeight="1" x14ac:dyDescent="0.25">
      <c r="B26" t="s">
        <v>61</v>
      </c>
    </row>
    <row r="27" spans="1:6" ht="15.75" customHeight="1" x14ac:dyDescent="0.25">
      <c r="A27" t="s">
        <v>62</v>
      </c>
      <c r="B27" t="s">
        <v>63</v>
      </c>
      <c r="D27" t="s">
        <v>64</v>
      </c>
    </row>
    <row r="28" spans="1:6" ht="15.75" customHeight="1" x14ac:dyDescent="0.25">
      <c r="B28" t="s">
        <v>65</v>
      </c>
      <c r="F28" t="s">
        <v>66</v>
      </c>
    </row>
    <row r="29" spans="1:6" ht="15.75" customHeight="1" x14ac:dyDescent="0.25">
      <c r="B29" t="s">
        <v>67</v>
      </c>
      <c r="D29" t="s">
        <v>68</v>
      </c>
      <c r="F29" t="s">
        <v>69</v>
      </c>
    </row>
    <row r="30" spans="1:6" ht="15.75" customHeight="1" x14ac:dyDescent="0.25">
      <c r="B30" t="s">
        <v>70</v>
      </c>
      <c r="D30" t="s">
        <v>71</v>
      </c>
    </row>
    <row r="31" spans="1:6" ht="15.75" customHeight="1" x14ac:dyDescent="0.25">
      <c r="B31" t="s">
        <v>72</v>
      </c>
      <c r="C31" t="s">
        <v>73</v>
      </c>
      <c r="D31" t="s">
        <v>74</v>
      </c>
      <c r="E31">
        <v>2</v>
      </c>
      <c r="F31" t="s">
        <v>75</v>
      </c>
    </row>
    <row r="32" spans="1:6" ht="15.75" customHeight="1" x14ac:dyDescent="0.25">
      <c r="B32" t="s">
        <v>76</v>
      </c>
      <c r="C32" t="s">
        <v>77</v>
      </c>
      <c r="D32" t="s">
        <v>78</v>
      </c>
      <c r="E32" t="s">
        <v>79</v>
      </c>
    </row>
    <row r="33" spans="2:2" ht="15.75" customHeight="1" x14ac:dyDescent="0.25">
      <c r="B33" t="s">
        <v>80</v>
      </c>
    </row>
    <row r="34" spans="2:2" ht="15.75" customHeight="1" x14ac:dyDescent="0.25"/>
    <row r="35" spans="2:2" ht="15.75" customHeight="1" x14ac:dyDescent="0.25"/>
    <row r="36" spans="2:2" ht="15.75" customHeight="1" x14ac:dyDescent="0.25"/>
    <row r="37" spans="2:2" ht="15.75" customHeight="1" x14ac:dyDescent="0.25">
      <c r="B37" t="s">
        <v>83</v>
      </c>
    </row>
    <row r="38" spans="2:2" ht="15.75" customHeight="1" x14ac:dyDescent="0.25"/>
    <row r="39" spans="2:2" ht="15.75" customHeight="1" x14ac:dyDescent="0.25"/>
    <row r="40" spans="2:2" ht="15.75" customHeight="1" x14ac:dyDescent="0.25"/>
    <row r="41" spans="2:2" ht="15.75" customHeight="1" x14ac:dyDescent="0.25"/>
    <row r="42" spans="2:2" ht="15.75" customHeight="1" x14ac:dyDescent="0.25"/>
    <row r="43" spans="2:2" ht="15.75" customHeight="1" x14ac:dyDescent="0.25"/>
    <row r="44" spans="2:2" ht="15.75" customHeight="1" x14ac:dyDescent="0.25"/>
    <row r="45" spans="2:2" ht="15.75" customHeight="1" x14ac:dyDescent="0.25"/>
    <row r="46" spans="2:2" ht="15.75" customHeight="1" x14ac:dyDescent="0.25"/>
    <row r="47" spans="2:2" ht="15.75" customHeight="1" x14ac:dyDescent="0.25"/>
    <row r="48" spans="2: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3">
    <mergeCell ref="A9:A11"/>
    <mergeCell ref="A2:A8"/>
    <mergeCell ref="A12:A18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Trade Construction</vt:lpstr>
      <vt:lpstr>Data - Account Activity</vt:lpstr>
      <vt:lpstr>Valuations</vt:lpstr>
      <vt:lpstr>Descriptions</vt:lpstr>
      <vt:lpstr>Descriptions!MSN_MoneyCentral_Investor_Stock_Quotes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 Dashery</dc:creator>
  <cp:lastModifiedBy>Frrlough</cp:lastModifiedBy>
  <dcterms:created xsi:type="dcterms:W3CDTF">2020-11-03T13:11:16Z</dcterms:created>
  <dcterms:modified xsi:type="dcterms:W3CDTF">2021-10-07T14:25:54Z</dcterms:modified>
</cp:coreProperties>
</file>